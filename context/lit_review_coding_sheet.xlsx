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earch-Log" sheetId="3" state="visible" r:id="rId3"/>
    <sheet xmlns:r="http://schemas.openxmlformats.org/officeDocument/2006/relationships" name="Gaps-Freshness" sheetId="4" state="visible" r:id="rId4"/>
    <sheet xmlns:r="http://schemas.openxmlformats.org/officeDocument/2006/relationships" name="Verification-Log" sheetId="5" state="visible" r:id="rId5"/>
    <sheet xmlns:r="http://schemas.openxmlformats.org/officeDocument/2006/relationships" name="Data-Acquire" sheetId="6" state="visible" r:id="rId6"/>
  </sheets>
  <definedNames>
    <definedName name="_xlnm._FilterDatabase" localSheetId="0" hidden="1">'Papers'!$A$1:$M$60</definedName>
    <definedName name="_xlnm._FilterDatabase" localSheetId="5" hidden="1">'Data-Acquire'!$A$1:$G$26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8CBAD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5" fillId="9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5" fillId="9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7" min="1" max="1"/>
    <col width="46" customWidth="1" style="17" min="2" max="2"/>
    <col width="16" customWidth="1" style="17" min="3" max="3"/>
    <col width="20" customWidth="1" style="17" min="4" max="4"/>
    <col width="26" customWidth="1" style="17" min="5" max="5"/>
    <col width="30" customWidth="1" style="17" min="6" max="6"/>
    <col width="12" customWidth="1" style="17" min="7" max="7"/>
    <col width="30" customWidth="1" style="17" min="8" max="8"/>
    <col width="12" customWidth="1" style="17" min="9" max="9"/>
    <col width="10" customWidth="1" style="17" min="10" max="10"/>
    <col width="52" customWidth="1" style="17" min="11" max="11"/>
    <col width="9" customWidth="1" style="17" min="12" max="12"/>
    <col width="40" customWidth="1" style="17" min="13" max="13"/>
  </cols>
  <sheetData>
    <row r="1" ht="23.25" customHeight="1" s="18">
      <c r="A1" s="19" t="inlineStr">
        <is>
          <t>read_order</t>
        </is>
      </c>
      <c r="B1" s="19" t="inlineStr">
        <is>
          <t>title</t>
        </is>
      </c>
      <c r="C1" s="19" t="inlineStr">
        <is>
          <t>id</t>
        </is>
      </c>
      <c r="D1" s="19" t="inlineStr">
        <is>
          <t>venue_year</t>
        </is>
      </c>
      <c r="E1" s="19" t="inlineStr">
        <is>
          <t>cluster_theme</t>
        </is>
      </c>
      <c r="F1" s="19" t="inlineStr">
        <is>
          <t>target_keyword_hit</t>
        </is>
      </c>
      <c r="G1" s="19" t="inlineStr">
        <is>
          <t>SI_track</t>
        </is>
      </c>
      <c r="H1" s="19" t="inlineStr">
        <is>
          <t>method</t>
        </is>
      </c>
      <c r="I1" s="19" t="inlineStr">
        <is>
          <t>data_open</t>
        </is>
      </c>
      <c r="J1" s="19" t="inlineStr">
        <is>
          <t>relevance</t>
        </is>
      </c>
      <c r="K1" s="19" t="inlineStr">
        <is>
          <t>gap_it_leaves</t>
        </is>
      </c>
      <c r="L1" s="19" t="inlineStr">
        <is>
          <t>verified</t>
        </is>
      </c>
      <c r="M1" s="19" t="inlineStr">
        <is>
          <t>notes</t>
        </is>
      </c>
    </row>
    <row r="2" ht="34.5" customHeight="1" s="18">
      <c r="A2" s="20" t="n">
        <v>3</v>
      </c>
      <c r="B2" s="20" t="inlineStr">
        <is>
          <t>Making AI Less Thirsty: the Secret Water Footprint of AI Models</t>
        </is>
      </c>
      <c r="C2" s="20" t="inlineStr">
        <is>
          <t>arXiv 2304.03271v5</t>
        </is>
      </c>
      <c r="D2" s="20" t="inlineStr">
        <is>
          <t>arXiv 2023 (v5 2025)</t>
        </is>
      </c>
      <c r="E2" s="20" t="inlineStr">
        <is>
          <t>A-Accounting/Water</t>
        </is>
      </c>
      <c r="F2" s="20" t="inlineStr">
        <is>
          <t>water footprint; WUE; scope-1/2 water</t>
        </is>
      </c>
      <c r="G2" s="20" t="inlineStr">
        <is>
          <t>T1</t>
        </is>
      </c>
      <c r="H2" s="20" t="inlineStr">
        <is>
          <t>Bottom-up scope-1 (on-site cooling) + scope-2 (EWIF) water accounting; per-query estimates</t>
        </is>
      </c>
      <c r="I2" s="20" t="inlineStr">
        <is>
          <t>Y (public)</t>
        </is>
      </c>
      <c r="J2" s="21" t="n">
        <v>5</v>
      </c>
      <c r="K2" s="20" t="inlineStr">
        <is>
          <t>Water-only; national/company scale; not joint w/ carbon; no sub-national multi-region counterfactual; embodied water excluded</t>
        </is>
      </c>
      <c r="L2" s="22" t="inlineStr">
        <is>
          <t>Y</t>
        </is>
      </c>
      <c r="M2" s="20" t="inlineStr">
        <is>
          <t>PRIMARY-READ. Seminal water paper (Li,Yang,Islam,Ren). ~500ml/10-50 GPT-3 queries</t>
        </is>
      </c>
    </row>
    <row r="3" ht="34.5" customHeight="1" s="18">
      <c r="A3" s="20" t="n">
        <v>4</v>
      </c>
      <c r="B3" s="20" t="inlineStr">
        <is>
          <t>The Hidden Thirst of AI: Water Cost of Intelligence (WCI) framework</t>
        </is>
      </c>
      <c r="C3" s="20" t="inlineStr">
        <is>
          <t>Green(MDPI) 1(2):8 2026</t>
        </is>
      </c>
      <c r="D3" s="20" t="inlineStr">
        <is>
          <t>Green 2026</t>
        </is>
      </c>
      <c r="E3" s="20" t="inlineStr">
        <is>
          <t>A-Accounting/Water</t>
        </is>
      </c>
      <c r="F3" s="20" t="inlineStr">
        <is>
          <t>per-query water; scarcity-adjusted; Aqueduct WSI</t>
        </is>
      </c>
      <c r="G3" s="20" t="inlineStr">
        <is>
          <t>T1</t>
        </is>
      </c>
      <c r="H3" s="20" t="inlineStr">
        <is>
          <t>Per-query accounting: WUE+PUE+EWIF+WSI (Aqueduct 4.0 scarcity weighting)</t>
        </is>
      </c>
      <c r="I3" s="20" t="inlineStr">
        <is>
          <t>Y (public)</t>
        </is>
      </c>
      <c r="J3" s="21" t="n">
        <v>5</v>
      </c>
      <c r="K3" s="20" t="inlineStr">
        <is>
          <t>Water-only (no carbon joint); single-point not spatial/counterfactual; US-centric mixes; excludes embodied; site-level WUE unpublished</t>
        </is>
      </c>
      <c r="L3" s="22" t="inlineStr">
        <is>
          <t>Y</t>
        </is>
      </c>
      <c r="M3" s="20" t="inlineStr">
        <is>
          <t>PRIMARY-READ. Uses EXACT data we hold (Aqueduct WSI, EIA mixes, per-query Wh)</t>
        </is>
      </c>
    </row>
    <row r="4" ht="34.5" customHeight="1" s="18">
      <c r="A4" s="20" t="n">
        <v>6</v>
      </c>
      <c r="B4" s="20" t="inlineStr">
        <is>
          <t>Power Hungry Processing: Watts Driving the Cost of AI Deployment?</t>
        </is>
      </c>
      <c r="C4" s="20" t="inlineStr">
        <is>
          <t>arXiv 2311.16863</t>
        </is>
      </c>
      <c r="D4" s="20" t="inlineStr">
        <is>
          <t>FAccT 2024</t>
        </is>
      </c>
      <c r="E4" s="20" t="inlineStr">
        <is>
          <t>A-Accounting/Energy</t>
        </is>
      </c>
      <c r="F4" s="20" t="inlineStr">
        <is>
          <t>inference energy per task; measurement</t>
        </is>
      </c>
      <c r="G4" s="20" t="inlineStr">
        <is>
          <t>T1</t>
        </is>
      </c>
      <c r="H4" s="20" t="inlineStr">
        <is>
          <t>Empirical task-level energy/carbon measurement across models &amp; tasks</t>
        </is>
      </c>
      <c r="I4" s="20" t="inlineStr">
        <is>
          <t>Y (public)</t>
        </is>
      </c>
      <c r="J4" s="20" t="n">
        <v>4</v>
      </c>
      <c r="K4" s="20" t="inlineStr">
        <is>
          <t>Energy/carbon per task only; no water; no spatial/grid siting; not sub-national</t>
        </is>
      </c>
      <c r="L4" s="23" t="inlineStr">
        <is>
          <t>N</t>
        </is>
      </c>
      <c r="M4" s="20" t="inlineStr">
        <is>
          <t>Luccioni,Jernite,Strubell. Inference-energy anchor. Verify FAccT id</t>
        </is>
      </c>
    </row>
    <row r="5" ht="34.5" customHeight="1" s="18">
      <c r="A5" s="20" t="n">
        <v>8</v>
      </c>
      <c r="B5" s="20" t="inlineStr">
        <is>
          <t>Recalibrating global data center energy-use estimates</t>
        </is>
      </c>
      <c r="C5" s="20" t="inlineStr">
        <is>
          <t>DOI 10.1126/science.aba3758</t>
        </is>
      </c>
      <c r="D5" s="20" t="inlineStr">
        <is>
          <t>Science 2020</t>
        </is>
      </c>
      <c r="E5" s="20" t="inlineStr">
        <is>
          <t>A-Accounting/Macro</t>
        </is>
      </c>
      <c r="F5" s="20" t="inlineStr">
        <is>
          <t>bottom-up energy; efficiency scaling</t>
        </is>
      </c>
      <c r="G5" s="20" t="inlineStr">
        <is>
          <t>T1/T3</t>
        </is>
      </c>
      <c r="H5" s="20" t="inlineStr">
        <is>
          <t>Bottom-up global DC energy model correcting extrapolation-based overestimates</t>
        </is>
      </c>
      <c r="I5" s="20" t="inlineStr">
        <is>
          <t>Y (paper)</t>
        </is>
      </c>
      <c r="J5" s="20" t="n">
        <v>3</v>
      </c>
      <c r="K5" s="20" t="inlineStr">
        <is>
          <t>Pre-genAI; global not sub-national; energy only; no water/carbon-intensity siting</t>
        </is>
      </c>
      <c r="L5" s="23" t="inlineStr">
        <is>
          <t>N</t>
        </is>
      </c>
      <c r="M5" s="20" t="inlineStr">
        <is>
          <t>Masanet,Shehabi et al. Seminal macro. Verify DOI</t>
        </is>
      </c>
    </row>
    <row r="6" ht="34.5" customHeight="1" s="18">
      <c r="A6" s="20" t="n">
        <v>11</v>
      </c>
      <c r="B6" s="20" t="inlineStr">
        <is>
          <t>Data centre energy demand projections within shared socioeconomic pathways</t>
        </is>
      </c>
      <c r="C6" s="20" t="inlineStr">
        <is>
          <t>pii S266627872600019X</t>
        </is>
      </c>
      <c r="D6" s="20" t="inlineStr">
        <is>
          <t>Energy &amp; Climate Change 2026</t>
        </is>
      </c>
      <c r="E6" s="20" t="inlineStr">
        <is>
          <t>A-Accounting/Macro</t>
        </is>
      </c>
      <c r="F6" s="20" t="inlineStr">
        <is>
          <t>SSP demand projections; digitalization scenarios</t>
        </is>
      </c>
      <c r="G6" s="20" t="inlineStr">
        <is>
          <t>T3</t>
        </is>
      </c>
      <c r="H6" s="20" t="inlineStr">
        <is>
          <t>Scenario (SSP) projections of DC electricity demand</t>
        </is>
      </c>
      <c r="I6" s="20" t="inlineStr">
        <is>
          <t>UNVERIFIED</t>
        </is>
      </c>
      <c r="J6" s="20" t="n">
        <v>4</v>
      </c>
      <c r="K6" s="20" t="inlineStr">
        <is>
          <t>Macro/national scenarios; not sub-national accounting; energy-centric</t>
        </is>
      </c>
      <c r="L6" s="23" t="inlineStr">
        <is>
          <t>Y</t>
        </is>
      </c>
      <c r="M6" s="20" t="inlineStr">
        <is>
          <t>VERIFIED-FULL (uploaded PDF, 2026-09-14). Fan, Wilson, Kamiya, Mastrucci (Oxford ECI + IIASA), Energy &amp; Climate Change 7(2026)100253 - CONFIRMED IN TARGET JOURNAL, open-access. Extends GLOBAL data-centre electricity demand to 2050 within SSP1-5. Method: elasticity (Eq1 dln(DCEnergy)=beta*dln(DigTrans)) linking e-gov digital-transformation index to DC electricity, 2-phase (2010-17 efficiency / 2020-24 demand); SSP digital-transformation from Fan 2025; + GHG vs 1.5/2C budget. GLOBAL + 6 world regions - NOT sub-national. Carbon=AVERAGE (SSP2 380-&gt;338 gCO2/kWh); NO water, NO marginal, NO inference attribution, NO policy-lever counterfactual. NUMBERS: 1800-5000 TWh by 2050 (SSP2 ~2500, ~5% of global electricity); DC carbon intensity must fall &lt;100 gCO2/kWh from 2030 for 1.5C (~300 for 2C). ARGUES DCs = SEPARATE end-use sector. LOW scoop. MUST-CITE positioning anchor (target journal + SSP/AR7 framing + macro demand backdrop for our S11 + carbon-intensity target).</t>
        </is>
      </c>
    </row>
    <row r="7" ht="23.25" customHeight="1" s="18">
      <c r="A7" s="20" t="n">
        <v>12</v>
      </c>
      <c r="B7" s="20" t="inlineStr">
        <is>
          <t>United States Data Center Energy Usage Report (LBNL 2024)</t>
        </is>
      </c>
      <c r="C7" s="20" t="inlineStr">
        <is>
          <t>LBNL 2024 (verify no.)</t>
        </is>
      </c>
      <c r="D7" s="20" t="inlineStr">
        <is>
          <t>LBNL 2024</t>
        </is>
      </c>
      <c r="E7" s="20" t="inlineStr">
        <is>
          <t>A-Accounting/Macro</t>
        </is>
      </c>
      <c r="F7" s="20" t="inlineStr">
        <is>
          <t>US DC energy; carbon intensity; efficiency</t>
        </is>
      </c>
      <c r="G7" s="20" t="inlineStr">
        <is>
          <t>T1/T3</t>
        </is>
      </c>
      <c r="H7" s="20" t="inlineStr">
        <is>
          <t>National bottom-up US DC energy + carbon accounting</t>
        </is>
      </c>
      <c r="I7" s="20" t="inlineStr">
        <is>
          <t>Y (report)</t>
        </is>
      </c>
      <c r="J7" s="20" t="n">
        <v>4</v>
      </c>
      <c r="K7" s="20" t="inlineStr">
        <is>
          <t>National averages; the 548 gCO2/kWh + inference-share stats used in our proposal originate here</t>
        </is>
      </c>
      <c r="L7" s="22" t="inlineStr">
        <is>
          <t>Y</t>
        </is>
      </c>
      <c r="M7" s="20" t="inlineStr">
        <is>
          <t>PRIMARY-READ (Shehabi et al., LBNL Dec 2024). 176 TWh/4.4% (2023); 325-580 TWh/6.7-12% (2028). NOTE: '548 gCO2/kWh' NOT in report -&gt; verify vs arXiv 2411.09786</t>
        </is>
      </c>
    </row>
    <row r="8" ht="34.5" customHeight="1" s="18">
      <c r="A8" s="20" t="n">
        <v>13</v>
      </c>
      <c r="B8" s="20" t="inlineStr">
        <is>
          <t>A Water Efficiency Dataset for African Data Centers</t>
        </is>
      </c>
      <c r="C8" s="20" t="inlineStr">
        <is>
          <t>arXiv 2412.03716</t>
        </is>
      </c>
      <c r="D8" s="20" t="inlineStr">
        <is>
          <t>ACM COMPASS 2025</t>
        </is>
      </c>
      <c r="E8" s="20" t="inlineStr">
        <is>
          <t>A-Accounting/Water/Data</t>
        </is>
      </c>
      <c r="F8" s="20" t="inlineStr">
        <is>
          <t>open water dataset; regional equity</t>
        </is>
      </c>
      <c r="G8" s="20" t="inlineStr">
        <is>
          <t>T1/T2</t>
        </is>
      </c>
      <c r="H8" s="20" t="inlineStr">
        <is>
          <t>Constructs an open WUE/water dataset for under-covered (African) DCs</t>
        </is>
      </c>
      <c r="I8" s="20" t="inlineStr">
        <is>
          <t>Y (dataset)</t>
        </is>
      </c>
      <c r="J8" s="20" t="n">
        <v>3</v>
      </c>
      <c r="K8" s="20" t="inlineStr">
        <is>
          <t>Regional (Africa) dataset; not a joint carbon-water sub-national accounting framework</t>
        </is>
      </c>
      <c r="L8" s="23" t="inlineStr">
        <is>
          <t>N</t>
        </is>
      </c>
      <c r="M8" s="20" t="inlineStr">
        <is>
          <t>Signals open-water-data scarcity = the data gap our audit notes</t>
        </is>
      </c>
    </row>
    <row r="9" ht="34.5" customHeight="1" s="18">
      <c r="A9" s="20" t="n">
        <v>14</v>
      </c>
      <c r="B9" s="20" t="inlineStr">
        <is>
          <t>Measuring and Standardizing AI's Energy Footprint (FAS)</t>
        </is>
      </c>
      <c r="C9" s="20" t="inlineStr">
        <is>
          <t>FAS report (verify)</t>
        </is>
      </c>
      <c r="D9" s="20" t="inlineStr">
        <is>
          <t>FAS 2025</t>
        </is>
      </c>
      <c r="E9" s="20" t="inlineStr">
        <is>
          <t>A-Accounting/Policy</t>
        </is>
      </c>
      <c r="F9" s="20" t="inlineStr">
        <is>
          <t>transparency; measurement standards</t>
        </is>
      </c>
      <c r="G9" s="20" t="inlineStr">
        <is>
          <t>T2</t>
        </is>
      </c>
      <c r="H9" s="20" t="inlineStr">
        <is>
          <t>Policy analysis: why AI energy/water numbers disagree; calls for standards</t>
        </is>
      </c>
      <c r="I9" s="20" t="inlineStr">
        <is>
          <t>N/A</t>
        </is>
      </c>
      <c r="J9" s="20" t="n">
        <v>3</v>
      </c>
      <c r="K9" s="20" t="inlineStr">
        <is>
          <t>Policy framing; no new accounting method/data</t>
        </is>
      </c>
      <c r="L9" s="23" t="inlineStr">
        <is>
          <t>N</t>
        </is>
      </c>
      <c r="M9" s="20" t="inlineStr">
        <is>
          <t>Supports 'reconciliation/transparency' motivation. Verify</t>
        </is>
      </c>
    </row>
    <row r="10" ht="34.5" customHeight="1" s="18">
      <c r="A10" s="20" t="n">
        <v>15</v>
      </c>
      <c r="B10" s="20" t="inlineStr">
        <is>
          <t>Carbon-Aware Computing for Datacenters (Google CICP)</t>
        </is>
      </c>
      <c r="C10" s="20" t="inlineStr">
        <is>
          <t>arXiv 2106.11750</t>
        </is>
      </c>
      <c r="D10" s="20" t="inlineStr">
        <is>
          <t>IEEE TPWRS / 2021</t>
        </is>
      </c>
      <c r="E10" s="20" t="inlineStr">
        <is>
          <t>B-Shifting/Carbon</t>
        </is>
      </c>
      <c r="F10" s="20" t="inlineStr">
        <is>
          <t>temporal shifting; grid carbon intensity</t>
        </is>
      </c>
      <c r="G10" s="20" t="inlineStr">
        <is>
          <t>T1</t>
        </is>
      </c>
      <c r="H10" s="20" t="inlineStr">
        <is>
          <t>Google's carbon-intelligent platform: temporal VPP-style shifting to low-carbon hours</t>
        </is>
      </c>
      <c r="I10" s="20" t="inlineStr">
        <is>
          <t>partial</t>
        </is>
      </c>
      <c r="J10" s="20" t="n">
        <v>3</v>
      </c>
      <c r="K10" s="20" t="inlineStr">
        <is>
          <t>Temporal only; single operator; average carbon; no water; no equity</t>
        </is>
      </c>
      <c r="L10" s="23" t="inlineStr">
        <is>
          <t>N</t>
        </is>
      </c>
      <c r="M10" s="20" t="inlineStr">
        <is>
          <t>Radovanovic et al. Seminal carbon-aware ops</t>
        </is>
      </c>
    </row>
    <row r="11" ht="23.25" customHeight="1" s="18">
      <c r="A11" s="20" t="n">
        <v>16</v>
      </c>
      <c r="B11" s="20" t="inlineStr">
        <is>
          <t>A Guide to Reducing Carbon via Geographical Load Shifting</t>
        </is>
      </c>
      <c r="C11" s="20" t="inlineStr">
        <is>
          <t>arXiv 2105.09120</t>
        </is>
      </c>
      <c r="D11" s="20" t="inlineStr">
        <is>
          <t>ACM e-Energy 2021</t>
        </is>
      </c>
      <c r="E11" s="20" t="inlineStr">
        <is>
          <t>B-Shifting/Carbon</t>
        </is>
      </c>
      <c r="F11" s="20" t="inlineStr">
        <is>
          <t>spatial shifting; geographic carbon</t>
        </is>
      </c>
      <c r="G11" s="20" t="inlineStr">
        <is>
          <t>T1</t>
        </is>
      </c>
      <c r="H11" s="20" t="inlineStr">
        <is>
          <t>Quantifies carbon savings from moving load to cleaner regions</t>
        </is>
      </c>
      <c r="I11" s="20" t="inlineStr">
        <is>
          <t>Y</t>
        </is>
      </c>
      <c r="J11" s="20" t="n">
        <v>3</v>
      </c>
      <c r="K11" s="20" t="inlineStr">
        <is>
          <t>Carbon only; average EF; no water; no equity/counterfactual-siting</t>
        </is>
      </c>
      <c r="L11" s="23" t="inlineStr">
        <is>
          <t>N</t>
        </is>
      </c>
      <c r="M11" s="20" t="inlineStr">
        <is>
          <t>Foundational geo-shifting</t>
        </is>
      </c>
    </row>
    <row r="12" ht="34.5" customHeight="1" s="18">
      <c r="A12" s="20" t="n">
        <v>16</v>
      </c>
      <c r="B12" s="20" t="inlineStr">
        <is>
          <t>Carbon Explorer: Holistic Framework for Carbon-Aware Datacenters</t>
        </is>
      </c>
      <c r="C12" s="20" t="inlineStr">
        <is>
          <t>ASPLOS 2023 (verify)</t>
        </is>
      </c>
      <c r="D12" s="20" t="inlineStr">
        <is>
          <t>ASPLOS 2023</t>
        </is>
      </c>
      <c r="E12" s="20" t="inlineStr">
        <is>
          <t>B-Shifting/Carbon</t>
        </is>
      </c>
      <c r="F12" s="20" t="inlineStr">
        <is>
          <t>operational+embodied; capacity</t>
        </is>
      </c>
      <c r="G12" s="20" t="inlineStr">
        <is>
          <t>T1</t>
        </is>
      </c>
      <c r="H12" s="20" t="inlineStr">
        <is>
          <t>Design-space tool balancing operational + embodied carbon w/ renewables &amp; storage</t>
        </is>
      </c>
      <c r="I12" s="20" t="inlineStr">
        <is>
          <t>partial</t>
        </is>
      </c>
      <c r="J12" s="20" t="n">
        <v>3</v>
      </c>
      <c r="K12" s="20" t="inlineStr">
        <is>
          <t>Carbon only; facility design not multi-region water accounting</t>
        </is>
      </c>
      <c r="L12" s="23" t="inlineStr">
        <is>
          <t>N</t>
        </is>
      </c>
      <c r="M12" s="20" t="inlineStr">
        <is>
          <t>Acun et al. Seminal</t>
        </is>
      </c>
    </row>
    <row r="13" ht="34.5" customHeight="1" s="18">
      <c r="A13" s="20" t="n">
        <v>17</v>
      </c>
      <c r="B13" s="20" t="inlineStr">
        <is>
          <t>On the Limitations of Carbon-Aware Temporal and Spatial Workload Shifting</t>
        </is>
      </c>
      <c r="C13" s="20" t="inlineStr">
        <is>
          <t>EuroSys 2024 (verify)</t>
        </is>
      </c>
      <c r="D13" s="20" t="inlineStr">
        <is>
          <t>EuroSys 2024</t>
        </is>
      </c>
      <c r="E13" s="20" t="inlineStr">
        <is>
          <t>B-Critique</t>
        </is>
      </c>
      <c r="F13" s="20" t="inlineStr">
        <is>
          <t>limits of shifting; realistic savings</t>
        </is>
      </c>
      <c r="G13" s="20" t="inlineStr">
        <is>
          <t>T1</t>
        </is>
      </c>
      <c r="H13" s="20" t="inlineStr">
        <is>
          <t>Empirically bounds how much shifting actually saves under real constraints</t>
        </is>
      </c>
      <c r="I13" s="20" t="inlineStr">
        <is>
          <t>Y</t>
        </is>
      </c>
      <c r="J13" s="21" t="n">
        <v>5</v>
      </c>
      <c r="K13" s="20" t="inlineStr">
        <is>
          <t>Carbon only; critique not a joint carbon-water accounting; motivates our 'does it help' backup gap</t>
        </is>
      </c>
      <c r="L13" s="23" t="inlineStr">
        <is>
          <t>N</t>
        </is>
      </c>
      <c r="M13" s="20" t="inlineStr">
        <is>
          <t>KEY CRITIQUE. Evidence the shifting lane is maturing/skeptical</t>
        </is>
      </c>
    </row>
    <row r="14" ht="45.75" customHeight="1" s="18">
      <c r="A14" s="20" t="n">
        <v>16</v>
      </c>
      <c r="B14" s="20" t="inlineStr">
        <is>
          <t>Environmental Potential of Hyper-Scale DCs: LMCE-guided Geo Load Shifting</t>
        </is>
      </c>
      <c r="C14" s="20" t="inlineStr">
        <is>
          <t>arXiv 2010.03379</t>
        </is>
      </c>
      <c r="D14" s="20" t="inlineStr">
        <is>
          <t>conf ~2020</t>
        </is>
      </c>
      <c r="E14" s="20" t="inlineStr">
        <is>
          <t>B-Shifting/LME</t>
        </is>
      </c>
      <c r="F14" s="20" t="inlineStr">
        <is>
          <t>locational marginal emissions; marginal vs avg</t>
        </is>
      </c>
      <c r="G14" s="20" t="inlineStr">
        <is>
          <t>T1</t>
        </is>
      </c>
      <c r="H14" s="20" t="inlineStr">
        <is>
          <t>DC-OPF-derived locational marginal CO2; marginal-based shifting cuts emissions where average-based can raise them</t>
        </is>
      </c>
      <c r="I14" s="20" t="inlineStr">
        <is>
          <t>Y (synthetic grid)</t>
        </is>
      </c>
      <c r="J14" s="21" t="n">
        <v>5</v>
      </c>
      <c r="K14" s="20" t="inlineStr">
        <is>
          <t>Toy 73-node grid; carbon only; no water; no inference; no equity</t>
        </is>
      </c>
      <c r="L14" s="22" t="inlineStr">
        <is>
          <t>Y</t>
        </is>
      </c>
      <c r="M14" s="20" t="inlineStr">
        <is>
          <t>PRIMARY-READ (Lindberg,Lesieutre,Roald). Establishes marginal&gt;average carbon accounting</t>
        </is>
      </c>
    </row>
    <row r="15" ht="34.5" customHeight="1" s="18">
      <c r="A15" s="20" t="n">
        <v>18</v>
      </c>
      <c r="B15" s="20" t="inlineStr">
        <is>
          <t>Locational Marginal Emissions for Carbon-Aware DC Operations in Large-Scale Grids</t>
        </is>
      </c>
      <c r="C15" s="20" t="inlineStr">
        <is>
          <t>2025 (verify)</t>
        </is>
      </c>
      <c r="D15" s="20" t="inlineStr">
        <is>
          <t>2025</t>
        </is>
      </c>
      <c r="E15" s="20" t="inlineStr">
        <is>
          <t>B-Shifting/LME</t>
        </is>
      </c>
      <c r="F15" s="20" t="inlineStr">
        <is>
          <t>LME at scale; real grids</t>
        </is>
      </c>
      <c r="G15" s="20" t="inlineStr">
        <is>
          <t>T1/T3</t>
        </is>
      </c>
      <c r="H15" s="20" t="inlineStr">
        <is>
          <t>Scales locational marginal emissions accounting to large real power grids</t>
        </is>
      </c>
      <c r="I15" s="20" t="inlineStr">
        <is>
          <t>N</t>
        </is>
      </c>
      <c r="J15" s="20" t="n">
        <v>4</v>
      </c>
      <c r="K15" s="20" t="inlineStr">
        <is>
          <t>Carbon only; no water; operations not equity/counterfactual accounting</t>
        </is>
      </c>
      <c r="L15" s="23" t="inlineStr">
        <is>
          <t>N</t>
        </is>
      </c>
      <c r="M15" s="20" t="inlineStr">
        <is>
          <t>Modern LME. Verify id/venue</t>
        </is>
      </c>
    </row>
    <row r="16" ht="34.5" customHeight="1" s="18">
      <c r="A16" s="20" t="n">
        <v>18</v>
      </c>
      <c r="B16" s="20" t="inlineStr">
        <is>
          <t>Bilevel Analysis of Cost and Emissions Externalities from DC Load Shifting</t>
        </is>
      </c>
      <c r="C16" s="20" t="inlineStr">
        <is>
          <t>arXiv 2510.20805</t>
        </is>
      </c>
      <c r="D16" s="20" t="inlineStr">
        <is>
          <t>2025</t>
        </is>
      </c>
      <c r="E16" s="20" t="inlineStr">
        <is>
          <t>B-Critique/Policy</t>
        </is>
      </c>
      <c r="F16" s="20" t="inlineStr">
        <is>
          <t>externalities; grid impacts; bilevel</t>
        </is>
      </c>
      <c r="G16" s="20" t="inlineStr">
        <is>
          <t>T3</t>
        </is>
      </c>
      <c r="H16" s="20" t="inlineStr">
        <is>
          <t>Bilevel model of how DC shifting imposes cost/emission externalities on the grid</t>
        </is>
      </c>
      <c r="I16" s="20" t="inlineStr">
        <is>
          <t>N</t>
        </is>
      </c>
      <c r="J16" s="20" t="n">
        <v>4</v>
      </c>
      <c r="K16" s="20" t="inlineStr">
        <is>
          <t>Carbon/cost externalities; no water; no inference-specific sub-national accounting</t>
        </is>
      </c>
      <c r="L16" s="23" t="inlineStr">
        <is>
          <t>N</t>
        </is>
      </c>
      <c r="M16" s="20" t="inlineStr">
        <is>
          <t>Policy-externalities angle. Venue-aligned</t>
        </is>
      </c>
    </row>
    <row r="17" ht="34.5" customHeight="1" s="18">
      <c r="A17" s="20" t="n">
        <v>5</v>
      </c>
      <c r="B17" s="20" t="inlineStr">
        <is>
          <t>Towards Environmentally Equitable AI via Geographical Load Balancing (eGLB)</t>
        </is>
      </c>
      <c r="C17" s="20" t="inlineStr">
        <is>
          <t>arXiv 2307.05494</t>
        </is>
      </c>
      <c r="D17" s="20" t="inlineStr">
        <is>
          <t>ACM e-Energy 2024 (CACM 2025)</t>
        </is>
      </c>
      <c r="E17" s="20" t="inlineStr">
        <is>
          <t>C-Equity/Optim</t>
        </is>
      </c>
      <c r="F17" s="20" t="inlineStr">
        <is>
          <t>environmental equity; minimax fairness; carbon+water</t>
        </is>
      </c>
      <c r="G17" s="20" t="inlineStr">
        <is>
          <t>T1/T2</t>
        </is>
      </c>
      <c r="H17" s="20" t="inlineStr">
        <is>
          <t>eGLB: minimax-fair online GLB minimizing the WORST region's carbon &amp; water footprint</t>
        </is>
      </c>
      <c r="I17" s="20" t="inlineStr">
        <is>
          <t>partial (synthetic non-US)</t>
        </is>
      </c>
      <c r="J17" s="21" t="n">
        <v>5</v>
      </c>
      <c r="K17" s="20" t="inlineStr">
        <is>
          <t>Optimization (not empirical accounting); synthetic Euro/Asia data; average EF; 10 abstract DCs; not a counterfactual of the REAL current burden</t>
        </is>
      </c>
      <c r="L17" s="22" t="inlineStr">
        <is>
          <t>Y</t>
        </is>
      </c>
      <c r="M17" s="20" t="inlineStr">
        <is>
          <t>PRIMARY-READ (Li,Wierman,Yang,Ren). The equity anchor we build the lens from</t>
        </is>
      </c>
    </row>
    <row r="18" ht="34.5" customHeight="1" s="18">
      <c r="A18" s="20" t="n">
        <v>19</v>
      </c>
      <c r="B18" s="20" t="inlineStr">
        <is>
          <t>WaterWise: Co-optimizing Carbon- and Water-Footprint for Cloud</t>
        </is>
      </c>
      <c r="C18" s="20" t="inlineStr">
        <is>
          <t>arXiv 2501.17944</t>
        </is>
      </c>
      <c r="D18" s="20" t="inlineStr">
        <is>
          <t>2025</t>
        </is>
      </c>
      <c r="E18" s="20" t="inlineStr">
        <is>
          <t>C-Joint/Optim</t>
        </is>
      </c>
      <c r="F18" s="20" t="inlineStr">
        <is>
          <t>joint carbon-water; co-optimization</t>
        </is>
      </c>
      <c r="G18" s="20" t="inlineStr">
        <is>
          <t>T1</t>
        </is>
      </c>
      <c r="H18" s="20" t="inlineStr">
        <is>
          <t>Real-time co-optimization of carbon and water footprint for cloud workloads</t>
        </is>
      </c>
      <c r="I18" s="20" t="inlineStr">
        <is>
          <t>N</t>
        </is>
      </c>
      <c r="J18" s="20" t="n">
        <v>4</v>
      </c>
      <c r="K18" s="20" t="inlineStr">
        <is>
          <t>Optimizer (crowded lane); not accounting/counterfactual/equity; not policy-framed</t>
        </is>
      </c>
      <c r="L18" s="23" t="inlineStr">
        <is>
          <t>N</t>
        </is>
      </c>
      <c r="M18" s="20" t="inlineStr">
        <is>
          <t>Closest joint carbon-water OPTIMIZER. Our kill-list: we do NOT enter this lane</t>
        </is>
      </c>
    </row>
    <row r="19" ht="34.5" customHeight="1" s="18">
      <c r="A19" s="20" t="n">
        <v>20</v>
      </c>
      <c r="B19" s="20" t="inlineStr">
        <is>
          <t>Sustainable Carbon-Aware &amp; Water-Efficient LLM Scheduling in Geo-Distributed Clouds</t>
        </is>
      </c>
      <c r="C19" s="20" t="inlineStr">
        <is>
          <t>GLSVLSI 2025 (verify)</t>
        </is>
      </c>
      <c r="D19" s="20" t="inlineStr">
        <is>
          <t>GLSVLSI 2025</t>
        </is>
      </c>
      <c r="E19" s="20" t="inlineStr">
        <is>
          <t>C-Joint/Optim</t>
        </is>
      </c>
      <c r="F19" s="20" t="inlineStr">
        <is>
          <t>LLM scheduling; carbon+water; geo-distributed</t>
        </is>
      </c>
      <c r="G19" s="20" t="inlineStr">
        <is>
          <t>T1</t>
        </is>
      </c>
      <c r="H19" s="20" t="inlineStr">
        <is>
          <t>Geo-distributed LLM inference scheduler jointly aware of carbon &amp; water</t>
        </is>
      </c>
      <c r="I19" s="20" t="inlineStr">
        <is>
          <t>N</t>
        </is>
      </c>
      <c r="J19" s="20" t="n">
        <v>4</v>
      </c>
      <c r="K19" s="20" t="inlineStr">
        <is>
          <t>Near-exact to our OLD idea; optimizer; not accounting/equity; systems venue</t>
        </is>
      </c>
      <c r="L19" s="23" t="inlineStr">
        <is>
          <t>N</t>
        </is>
      </c>
      <c r="M19" s="20" t="inlineStr">
        <is>
          <t>Evidence old lane is saturated. Kill-list</t>
        </is>
      </c>
    </row>
    <row r="20" ht="34.5" customHeight="1" s="18">
      <c r="A20" s="20" t="n">
        <v>21</v>
      </c>
      <c r="B20" s="20" t="inlineStr">
        <is>
          <t>Routing LLM Inference to the Cleanest Grid in Real Time</t>
        </is>
      </c>
      <c r="C20" s="20" t="inlineStr">
        <is>
          <t>arXiv 2608.06188</t>
        </is>
      </c>
      <c r="D20" s="20" t="inlineStr">
        <is>
          <t>2026</t>
        </is>
      </c>
      <c r="E20" s="20" t="inlineStr">
        <is>
          <t>C-Joint/Optim</t>
        </is>
      </c>
      <c r="F20" s="20" t="inlineStr">
        <is>
          <t>marginal emissions; real-GPU routing</t>
        </is>
      </c>
      <c r="G20" s="20" t="inlineStr">
        <is>
          <t>T1</t>
        </is>
      </c>
      <c r="H20" s="20" t="inlineStr">
        <is>
          <t>Marginal-emissions-driven carbon-aware routing fabric; real GPUs; year-long replay</t>
        </is>
      </c>
      <c r="I20" s="20" t="inlineStr">
        <is>
          <t>N</t>
        </is>
      </c>
      <c r="J20" s="20" t="n">
        <v>4</v>
      </c>
      <c r="K20" s="20" t="inlineStr">
        <is>
          <t>Strong real-system optimizer of our old idea; carbon-centric; not equity/water-accounting</t>
        </is>
      </c>
      <c r="L20" s="23" t="inlineStr">
        <is>
          <t>N</t>
        </is>
      </c>
      <c r="M20" s="20" t="inlineStr">
        <is>
          <t>Better-resourced version of our old plan. Confirms do-not-enter</t>
        </is>
      </c>
    </row>
    <row r="21" ht="23.25" customHeight="1" s="18">
      <c r="A21" s="20" t="n">
        <v>22</v>
      </c>
      <c r="B21" s="20" t="inlineStr">
        <is>
          <t>GAR: Carbon-Aware Routing for LLM Inference via Constrained Optimization</t>
        </is>
      </c>
      <c r="C21" s="20" t="inlineStr">
        <is>
          <t>arXiv 2605.11603</t>
        </is>
      </c>
      <c r="D21" s="20" t="inlineStr">
        <is>
          <t>2026</t>
        </is>
      </c>
      <c r="E21" s="20" t="inlineStr">
        <is>
          <t>C-Joint/Optim</t>
        </is>
      </c>
      <c r="F21" s="20" t="inlineStr">
        <is>
          <t>carbon routing; constrained opt</t>
        </is>
      </c>
      <c r="G21" s="20" t="inlineStr">
        <is>
          <t>T1</t>
        </is>
      </c>
      <c r="H21" s="20" t="inlineStr">
        <is>
          <t>Constrained-optimization carbon-aware LLM request routing</t>
        </is>
      </c>
      <c r="I21" s="20" t="inlineStr">
        <is>
          <t>N</t>
        </is>
      </c>
      <c r="J21" s="20" t="n">
        <v>3</v>
      </c>
      <c r="K21" s="20" t="inlineStr">
        <is>
          <t>Optimizer; carbon only; not water/equity accounting</t>
        </is>
      </c>
      <c r="L21" s="23" t="inlineStr">
        <is>
          <t>N</t>
        </is>
      </c>
      <c r="M21" s="20" t="inlineStr">
        <is>
          <t>Crowded lane</t>
        </is>
      </c>
    </row>
    <row r="22" ht="23.25" customHeight="1" s="18">
      <c r="A22" s="20" t="n">
        <v>23</v>
      </c>
      <c r="B22" s="20" t="inlineStr">
        <is>
          <t>MARLIN: Multi-Agent Game-Theoretic RL (carbon DC scheduling)</t>
        </is>
      </c>
      <c r="C22" s="20" t="inlineStr">
        <is>
          <t>arXiv 2605.13496</t>
        </is>
      </c>
      <c r="D22" s="20" t="inlineStr">
        <is>
          <t>2026</t>
        </is>
      </c>
      <c r="E22" s="20" t="inlineStr">
        <is>
          <t>C-Joint/Optim</t>
        </is>
      </c>
      <c r="F22" s="20" t="inlineStr">
        <is>
          <t>multi-agent RL; game theory</t>
        </is>
      </c>
      <c r="G22" s="20" t="inlineStr">
        <is>
          <t>T1</t>
        </is>
      </c>
      <c r="H22" s="20" t="inlineStr">
        <is>
          <t>Multi-agent game-theoretic RL for carbon-aware scheduling</t>
        </is>
      </c>
      <c r="I22" s="20" t="inlineStr">
        <is>
          <t>N</t>
        </is>
      </c>
      <c r="J22" s="20" t="n">
        <v>3</v>
      </c>
      <c r="K22" s="20" t="inlineStr">
        <is>
          <t>Multi-agent RL optimizer = our old architecture family; not accounting/equity</t>
        </is>
      </c>
      <c r="L22" s="23" t="inlineStr">
        <is>
          <t>N</t>
        </is>
      </c>
      <c r="M22" s="20" t="inlineStr">
        <is>
          <t>Confirms multi-agent lane saturated</t>
        </is>
      </c>
    </row>
    <row r="23" ht="34.5" customHeight="1" s="18">
      <c r="A23" s="20" t="n">
        <v>24</v>
      </c>
      <c r="B23" s="20" t="inlineStr">
        <is>
          <t>Hierarchical Multi-Agent RL for Carbon-Aware AI DCs in Power Distribution</t>
        </is>
      </c>
      <c r="C23" s="20" t="inlineStr">
        <is>
          <t>arXiv 2607.03324</t>
        </is>
      </c>
      <c r="D23" s="20" t="inlineStr">
        <is>
          <t>2026</t>
        </is>
      </c>
      <c r="E23" s="20" t="inlineStr">
        <is>
          <t>C-Joint/Optim</t>
        </is>
      </c>
      <c r="F23" s="20" t="inlineStr">
        <is>
          <t>hierarchical MARL; distribution grid</t>
        </is>
      </c>
      <c r="G23" s="20" t="inlineStr">
        <is>
          <t>T1</t>
        </is>
      </c>
      <c r="H23" s="20" t="inlineStr">
        <is>
          <t>Hierarchical MARL coordinating carbon-aware AI DCs with the distribution system</t>
        </is>
      </c>
      <c r="I23" s="20" t="inlineStr">
        <is>
          <t>N</t>
        </is>
      </c>
      <c r="J23" s="20" t="n">
        <v>3</v>
      </c>
      <c r="K23" s="20" t="inlineStr">
        <is>
          <t>Hierarchical MARL optimizer (very close to our old framing); no water-accounting/equity</t>
        </is>
      </c>
      <c r="L23" s="23" t="inlineStr">
        <is>
          <t>N</t>
        </is>
      </c>
      <c r="M23" s="20" t="inlineStr">
        <is>
          <t>Kill-list: our exact architecture, done</t>
        </is>
      </c>
    </row>
    <row r="24" ht="34.5" customHeight="1" s="18">
      <c r="A24" s="20" t="n">
        <v>25</v>
      </c>
      <c r="B24" s="20" t="inlineStr">
        <is>
          <t>Sustainable AIGC Workload Scheduling of Geo-Distributed DCs: MARL</t>
        </is>
      </c>
      <c r="C24" s="20" t="inlineStr">
        <is>
          <t>arXiv 2304.07948</t>
        </is>
      </c>
      <c r="D24" s="20" t="inlineStr">
        <is>
          <t>2023</t>
        </is>
      </c>
      <c r="E24" s="20" t="inlineStr">
        <is>
          <t>C-Joint/Optim</t>
        </is>
      </c>
      <c r="F24" s="20" t="inlineStr">
        <is>
          <t>AIGC; MARL; geo scheduling</t>
        </is>
      </c>
      <c r="G24" s="20" t="inlineStr">
        <is>
          <t>T1</t>
        </is>
      </c>
      <c r="H24" s="20" t="inlineStr">
        <is>
          <t>MARL for sustainable geo-distributed AIGC workload scheduling</t>
        </is>
      </c>
      <c r="I24" s="20" t="inlineStr">
        <is>
          <t>N</t>
        </is>
      </c>
      <c r="J24" s="20" t="n">
        <v>2</v>
      </c>
      <c r="K24" s="20" t="inlineStr">
        <is>
          <t>Optimizer; older; no water/equity accounting</t>
        </is>
      </c>
      <c r="L24" s="23" t="inlineStr">
        <is>
          <t>N</t>
        </is>
      </c>
      <c r="M24" s="20" t="inlineStr">
        <is>
          <t>Lineage of the crowded lane</t>
        </is>
      </c>
    </row>
    <row r="25" ht="23.25" customHeight="1" s="18">
      <c r="A25" s="20" t="n">
        <v>26</v>
      </c>
      <c r="B25" s="20" t="inlineStr">
        <is>
          <t>DynamoLLM: Designing LLM Inference Clusters for Performance &amp; Energy</t>
        </is>
      </c>
      <c r="C25" s="20" t="inlineStr">
        <is>
          <t>HPCA 2025 (verify)</t>
        </is>
      </c>
      <c r="D25" s="20" t="inlineStr">
        <is>
          <t>HPCA 2025</t>
        </is>
      </c>
      <c r="E25" s="20" t="inlineStr">
        <is>
          <t>C-Serving/Energy</t>
        </is>
      </c>
      <c r="F25" s="20" t="inlineStr">
        <is>
          <t>LLM serving; energy; frequency</t>
        </is>
      </c>
      <c r="G25" s="20" t="inlineStr">
        <is>
          <t>T1</t>
        </is>
      </c>
      <c r="H25" s="20" t="inlineStr">
        <is>
          <t>Energy-optimized LLM inference cluster design (SLO-aware)</t>
        </is>
      </c>
      <c r="I25" s="20" t="inlineStr">
        <is>
          <t>N</t>
        </is>
      </c>
      <c r="J25" s="20" t="n">
        <v>2</v>
      </c>
      <c r="K25" s="20" t="inlineStr">
        <is>
          <t>Single-cluster energy systems; not multi-region water/carbon accounting</t>
        </is>
      </c>
      <c r="L25" s="23" t="inlineStr">
        <is>
          <t>N</t>
        </is>
      </c>
      <c r="M25" s="20" t="inlineStr">
        <is>
          <t>Serving-systems context</t>
        </is>
      </c>
    </row>
    <row r="26" ht="34.5" customHeight="1" s="18">
      <c r="A26" s="20" t="n">
        <v>9</v>
      </c>
      <c r="B26" s="20" t="inlineStr">
        <is>
          <t>Chasing Carbon: The Elusive Environmental Footprint of Computing</t>
        </is>
      </c>
      <c r="C26" s="20" t="inlineStr">
        <is>
          <t>HPCA 2021 (verify)</t>
        </is>
      </c>
      <c r="D26" s="20" t="inlineStr">
        <is>
          <t>HPCA 2021</t>
        </is>
      </c>
      <c r="E26" s="20" t="inlineStr">
        <is>
          <t>D-Embodied</t>
        </is>
      </c>
      <c r="F26" s="20" t="inlineStr">
        <is>
          <t>embodied vs operational; critical materials</t>
        </is>
      </c>
      <c r="G26" s="20" t="inlineStr">
        <is>
          <t>T1</t>
        </is>
      </c>
      <c r="H26" s="20" t="inlineStr">
        <is>
          <t>Shows embodied (manufacturing) carbon dominates for many devices; introduces framing</t>
        </is>
      </c>
      <c r="I26" s="20" t="inlineStr">
        <is>
          <t>Y</t>
        </is>
      </c>
      <c r="J26" s="20" t="n">
        <v>4</v>
      </c>
      <c r="K26" s="20" t="inlineStr">
        <is>
          <t>Carbon only; device/mobile focus; no water; no sub-national siting</t>
        </is>
      </c>
      <c r="L26" s="23" t="inlineStr">
        <is>
          <t>N</t>
        </is>
      </c>
      <c r="M26" s="20" t="inlineStr">
        <is>
          <t>Gupta et al. Seminal embodied. Maps SI 'critical materials' keyword</t>
        </is>
      </c>
    </row>
    <row r="27" ht="23.25" customHeight="1" s="18">
      <c r="A27" s="20" t="n">
        <v>10</v>
      </c>
      <c r="B27" s="20" t="inlineStr">
        <is>
          <t>CarbonClarity: Uncertainty in Embodied Carbon for Sustainable Computing</t>
        </is>
      </c>
      <c r="C27" s="20" t="inlineStr">
        <is>
          <t>arXiv 2507.01145</t>
        </is>
      </c>
      <c r="D27" s="20" t="inlineStr">
        <is>
          <t>2025</t>
        </is>
      </c>
      <c r="E27" s="20" t="inlineStr">
        <is>
          <t>D-Embodied</t>
        </is>
      </c>
      <c r="F27" s="20" t="inlineStr">
        <is>
          <t>embodied uncertainty; bounds</t>
        </is>
      </c>
      <c r="G27" s="20" t="inlineStr">
        <is>
          <t>T1</t>
        </is>
      </c>
      <c r="H27" s="20" t="inlineStr">
        <is>
          <t>Quantifies &amp; propagates uncertainty in embodied-carbon estimates</t>
        </is>
      </c>
      <c r="I27" s="20" t="inlineStr">
        <is>
          <t>N</t>
        </is>
      </c>
      <c r="J27" s="20" t="n">
        <v>3</v>
      </c>
      <c r="K27" s="20" t="inlineStr">
        <is>
          <t>Embodied carbon only; no water/operational-siting joint</t>
        </is>
      </c>
      <c r="L27" s="23" t="inlineStr">
        <is>
          <t>N</t>
        </is>
      </c>
      <c r="M27" s="20" t="inlineStr">
        <is>
          <t>Uncertainty-aware embodied. Verify</t>
        </is>
      </c>
    </row>
    <row r="28" ht="34.5" customHeight="1" s="18">
      <c r="A28" s="20" t="n">
        <v>7</v>
      </c>
      <c r="B28" s="20" t="inlineStr">
        <is>
          <t>Concentrated siting of AI data centers drives regional power-system stress</t>
        </is>
      </c>
      <c r="C28" s="20" t="inlineStr">
        <is>
          <t>arXiv 2604.06198</t>
        </is>
      </c>
      <c r="D28" s="20" t="inlineStr">
        <is>
          <t>2026</t>
        </is>
      </c>
      <c r="E28" s="20" t="inlineStr">
        <is>
          <t>E-Siting/Grid</t>
        </is>
      </c>
      <c r="F28" s="20" t="inlineStr">
        <is>
          <t>siting concentration; Power Stress Index</t>
        </is>
      </c>
      <c r="G28" s="20" t="inlineStr">
        <is>
          <t>T3</t>
        </is>
      </c>
      <c r="H28" s="20" t="inlineStr">
        <is>
          <t>Forecasts DC electricity demand; Power Stress Index vs regional generation capacity</t>
        </is>
      </c>
      <c r="I28" s="20" t="inlineStr">
        <is>
          <t>Y (SEC,S&amp;P,EIA,IEA)</t>
        </is>
      </c>
      <c r="J28" s="21" t="n">
        <v>5</v>
      </c>
      <c r="K28" s="20" t="inlineStr">
        <is>
          <t>ELECTRICITY-ONLY (no water, no carbon joint); limited counterfactual; narrow (grid) equity; explicitly asks for our integration in future work</t>
        </is>
      </c>
      <c r="L28" s="22" t="inlineStr">
        <is>
          <t>Y</t>
        </is>
      </c>
      <c r="M28" s="20" t="inlineStr">
        <is>
          <t>PRIMARY-READ (Chen et al., OSU/Meta). Closest 'siting stress' neighbor; leaves our gap wide open</t>
        </is>
      </c>
    </row>
    <row r="29" ht="23.25" customHeight="1" s="18">
      <c r="A29" s="20" t="n">
        <v>31</v>
      </c>
      <c r="B29" s="20" t="inlineStr">
        <is>
          <t>To Defer or To Shift? AI DC Flexibility on Grid Interconnection</t>
        </is>
      </c>
      <c r="C29" s="20" t="inlineStr">
        <is>
          <t>arXiv 2604.05376</t>
        </is>
      </c>
      <c r="D29" s="20" t="inlineStr">
        <is>
          <t>2026</t>
        </is>
      </c>
      <c r="E29" s="20" t="inlineStr">
        <is>
          <t>E-Grid/Policy</t>
        </is>
      </c>
      <c r="F29" s="20" t="inlineStr">
        <is>
          <t>load flexibility; interconnection</t>
        </is>
      </c>
      <c r="G29" s="20" t="inlineStr">
        <is>
          <t>T3</t>
        </is>
      </c>
      <c r="H29" s="20" t="inlineStr">
        <is>
          <t>Analyzes deferring vs shifting AI DC load for grid interconnection</t>
        </is>
      </c>
      <c r="I29" s="20" t="inlineStr">
        <is>
          <t>N</t>
        </is>
      </c>
      <c r="J29" s="20" t="n">
        <v>3</v>
      </c>
      <c r="K29" s="20" t="inlineStr">
        <is>
          <t>Grid-flexibility policy; energy only; no water/carbon accounting</t>
        </is>
      </c>
      <c r="L29" s="23" t="inlineStr">
        <is>
          <t>N</t>
        </is>
      </c>
      <c r="M29" s="20" t="inlineStr">
        <is>
          <t>Track-3 policy neighbor</t>
        </is>
      </c>
    </row>
    <row r="30" ht="34.5" customHeight="1" s="18">
      <c r="A30" s="20" t="n">
        <v>32</v>
      </c>
      <c r="B30" s="20" t="inlineStr">
        <is>
          <t>Carbon-Aware DC Workload Allocation: Emission Disclosure, Capacity Leasing, Contract Reshuffling</t>
        </is>
      </c>
      <c r="C30" s="20" t="inlineStr">
        <is>
          <t>arXiv 2602.19310</t>
        </is>
      </c>
      <c r="D30" s="20" t="inlineStr">
        <is>
          <t>2026</t>
        </is>
      </c>
      <c r="E30" s="20" t="inlineStr">
        <is>
          <t>E-Policy/Market</t>
        </is>
      </c>
      <c r="F30" s="20" t="inlineStr">
        <is>
          <t>market mechanisms; disclosure</t>
        </is>
      </c>
      <c r="G30" s="20" t="inlineStr">
        <is>
          <t>T2/T3</t>
        </is>
      </c>
      <c r="H30" s="20" t="inlineStr">
        <is>
          <t>Market/contract mechanisms for carbon-aware allocation &amp; disclosure</t>
        </is>
      </c>
      <c r="I30" s="20" t="inlineStr">
        <is>
          <t>N</t>
        </is>
      </c>
      <c r="J30" s="20" t="n">
        <v>3</v>
      </c>
      <c r="K30" s="20" t="inlineStr">
        <is>
          <t>Carbon/market focus; no water; not sub-national accounting</t>
        </is>
      </c>
      <c r="L30" s="23" t="inlineStr">
        <is>
          <t>N</t>
        </is>
      </c>
      <c r="M30" s="20" t="inlineStr">
        <is>
          <t>Socio-institutional (T2) neighbor</t>
        </is>
      </c>
    </row>
    <row r="31" ht="34.5" customHeight="1" s="18">
      <c r="A31" s="20" t="n">
        <v>33</v>
      </c>
      <c r="B31" s="20" t="inlineStr">
        <is>
          <t>Governing AI Data Center Growth in Water-Stressed Regions: Siting, Transparency, Water Justice</t>
        </is>
      </c>
      <c r="C31" s="20" t="inlineStr">
        <is>
          <t>2026 (verify)</t>
        </is>
      </c>
      <c r="D31" s="20" t="inlineStr">
        <is>
          <t>2026</t>
        </is>
      </c>
      <c r="E31" s="20" t="inlineStr">
        <is>
          <t>E-Policy/Water-Justice</t>
        </is>
      </c>
      <c r="F31" s="20" t="inlineStr">
        <is>
          <t>water justice; siting governance</t>
        </is>
      </c>
      <c r="G31" s="20" t="inlineStr">
        <is>
          <t>T2/T3</t>
        </is>
      </c>
      <c r="H31" s="20" t="inlineStr">
        <is>
          <t>Governance framing for siting in water-stressed regions; transparency &amp; justice</t>
        </is>
      </c>
      <c r="I31" s="20" t="inlineStr">
        <is>
          <t>N/A</t>
        </is>
      </c>
      <c r="J31" s="20" t="n">
        <v>4</v>
      </c>
      <c r="K31" s="20" t="inlineStr">
        <is>
          <t>Policy/governance (qualitative); no quantitative joint accounting/counterfactual</t>
        </is>
      </c>
      <c r="L31" s="23" t="inlineStr">
        <is>
          <t>N</t>
        </is>
      </c>
      <c r="M31" s="20" t="inlineStr">
        <is>
          <t>Directly supports our EQUITY lens + must-cite. Verify</t>
        </is>
      </c>
    </row>
    <row r="32" ht="34.5" customHeight="1" s="18">
      <c r="A32" s="20" t="n">
        <v>34</v>
      </c>
      <c r="B32" s="20" t="inlineStr">
        <is>
          <t>Carbon-aware optimization for Internet DCs w/ renewables: robust allocation &amp; carbon procurement (mean field game)</t>
        </is>
      </c>
      <c r="C32" s="20" t="inlineStr">
        <is>
          <t>pii S0960148126000261</t>
        </is>
      </c>
      <c r="D32" s="20" t="inlineStr">
        <is>
          <t>Renewable Energy 2026</t>
        </is>
      </c>
      <c r="E32" s="20" t="inlineStr">
        <is>
          <t>E-Policy/Optim</t>
        </is>
      </c>
      <c r="F32" s="20" t="inlineStr">
        <is>
          <t>allocation; carbon procurement; MFG</t>
        </is>
      </c>
      <c r="G32" s="20" t="inlineStr">
        <is>
          <t>T3</t>
        </is>
      </c>
      <c r="H32" s="20" t="inlineStr">
        <is>
          <t>Robust workload allocation + carbon procurement via multi-class mean field game</t>
        </is>
      </c>
      <c r="I32" s="20" t="inlineStr">
        <is>
          <t>N</t>
        </is>
      </c>
      <c r="J32" s="20" t="n">
        <v>2</v>
      </c>
      <c r="K32" s="20" t="inlineStr">
        <is>
          <t>Carbon/procurement optimizer; no water; not accounting/equity</t>
        </is>
      </c>
      <c r="L32" s="23" t="inlineStr">
        <is>
          <t>N</t>
        </is>
      </c>
      <c r="M32" s="20" t="inlineStr">
        <is>
          <t>Energy-journal neighbor. Verify</t>
        </is>
      </c>
    </row>
    <row r="33" ht="34.5" customHeight="1" s="18">
      <c r="A33" s="20" t="n">
        <v>2</v>
      </c>
      <c r="B33" s="20" t="inlineStr">
        <is>
          <t>Reviewing the socio-technical dynamics of AI, data centers &amp; digitalization on energy &amp; environment</t>
        </is>
      </c>
      <c r="C33" s="20" t="inlineStr">
        <is>
          <t>pii S1364032126001607</t>
        </is>
      </c>
      <c r="D33" s="20" t="inlineStr">
        <is>
          <t>Renew.Sustain.Energy Rev. 2026</t>
        </is>
      </c>
      <c r="E33" s="20" t="inlineStr">
        <is>
          <t>A-Accounting/Survey</t>
        </is>
      </c>
      <c r="F33" s="20" t="inlineStr">
        <is>
          <t>socio-technical AI energy environment survey</t>
        </is>
      </c>
      <c r="G33" s="20" t="inlineStr">
        <is>
          <t>T1/T2/T3</t>
        </is>
      </c>
      <c r="H33" s="20" t="inlineStr">
        <is>
          <t>Interdisciplinary review mapping AI/DC/digitalization energy-environment dynamics</t>
        </is>
      </c>
      <c r="I33" s="20" t="inlineStr">
        <is>
          <t>N/A</t>
        </is>
      </c>
      <c r="J33" s="21" t="n">
        <v>5</v>
      </c>
      <c r="K33" s="20" t="inlineStr">
        <is>
          <t>Field-level MAP at the venue altitude; organizer-adjacent (Cambridge/Verdolini circle) =&gt; must-cite + best first read</t>
        </is>
      </c>
      <c r="L33" s="23" t="inlineStr">
        <is>
          <t>N</t>
        </is>
      </c>
      <c r="M33" s="20" t="inlineStr">
        <is>
          <t>Anchor survey. Verify authors + pii (S1364032125007701?)</t>
        </is>
      </c>
    </row>
    <row r="34" ht="23.25" customHeight="1" s="18">
      <c r="A34" s="20" t="n">
        <v>7</v>
      </c>
      <c r="B34" s="20" t="inlineStr">
        <is>
          <t>Environmental Burden of US Data Centers in the Artificial Intelligence Era</t>
        </is>
      </c>
      <c r="C34" s="20" t="inlineStr">
        <is>
          <t>arXiv 2411.09786</t>
        </is>
      </c>
      <c r="D34" s="20" t="inlineStr">
        <is>
          <t>2024/25</t>
        </is>
      </c>
      <c r="E34" s="20" t="inlineStr">
        <is>
          <t>A-Accounting/Carbon-Water</t>
        </is>
      </c>
      <c r="F34" s="20" t="inlineStr">
        <is>
          <t>US DC carbon &amp; water burden; sub-national</t>
        </is>
      </c>
      <c r="G34" s="20" t="inlineStr">
        <is>
          <t>T1/T3</t>
        </is>
      </c>
      <c r="H34" s="20" t="inlineStr">
        <is>
          <t>Bottom-up US DC carbon+water burden accounting in the AI era</t>
        </is>
      </c>
      <c r="I34" s="20" t="inlineStr">
        <is>
          <t>N</t>
        </is>
      </c>
      <c r="J34" s="20" t="n">
        <v>4</v>
      </c>
      <c r="K34" s="20" t="inlineStr">
        <is>
          <t>Likely TRUE source of '548 gCO2/kWh'; may be sub-national carbon+water =&gt; close neighbor OR partial scoop</t>
        </is>
      </c>
      <c r="L34" s="23" t="inlineStr">
        <is>
          <t>N</t>
        </is>
      </c>
      <c r="M34" s="20" t="inlineStr">
        <is>
          <t>VERIFY carefully: source of 548? near-neighbor to our accounting?</t>
        </is>
      </c>
    </row>
    <row r="35" ht="34.5" customHeight="1" s="18">
      <c r="A35" s="20" t="n">
        <v>9</v>
      </c>
      <c r="B35" s="20" t="inlineStr">
        <is>
          <t>The carbon and water footprints of data centers and what this could mean for AI</t>
        </is>
      </c>
      <c r="C35" s="20" t="inlineStr">
        <is>
          <t>pii S2666389925002788</t>
        </is>
      </c>
      <c r="D35" s="20" t="inlineStr">
        <is>
          <t>2025/26</t>
        </is>
      </c>
      <c r="E35" s="20" t="inlineStr">
        <is>
          <t>A-Accounting/Carbon-Water</t>
        </is>
      </c>
      <c r="F35" s="20" t="inlineStr">
        <is>
          <t>carbon &amp; water footprints; AI implications</t>
        </is>
      </c>
      <c r="G35" s="20" t="inlineStr">
        <is>
          <t>T1</t>
        </is>
      </c>
      <c r="H35" s="20" t="inlineStr">
        <is>
          <t>Review of DC carbon+water footprints and AI implications</t>
        </is>
      </c>
      <c r="I35" s="20" t="inlineStr">
        <is>
          <t>N/A</t>
        </is>
      </c>
      <c r="J35" s="20" t="n">
        <v>4</v>
      </c>
      <c r="K35" s="20" t="inlineStr">
        <is>
          <t>Recent JOINT carbon-water review in our lane; must-cite + scoop-check</t>
        </is>
      </c>
      <c r="L35" s="23" t="inlineStr">
        <is>
          <t>N</t>
        </is>
      </c>
      <c r="M35" s="20" t="inlineStr">
        <is>
          <t>Verify venue/authors</t>
        </is>
      </c>
    </row>
    <row r="36" ht="23.25" customHeight="1" s="18">
      <c r="A36" s="20" t="n">
        <v>14</v>
      </c>
      <c r="B36" s="20" t="inlineStr">
        <is>
          <t>Electricity Demand and Grid Impacts of AI Data Centers: Challenges and Prospects</t>
        </is>
      </c>
      <c r="C36" s="20" t="inlineStr">
        <is>
          <t>arXiv 2509.07218</t>
        </is>
      </c>
      <c r="D36" s="20" t="inlineStr">
        <is>
          <t>2025</t>
        </is>
      </c>
      <c r="E36" s="20" t="inlineStr">
        <is>
          <t>E-Grid/Policy</t>
        </is>
      </c>
      <c r="F36" s="20" t="inlineStr">
        <is>
          <t>grid impacts; electricity demand AI DC</t>
        </is>
      </c>
      <c r="G36" s="20" t="inlineStr">
        <is>
          <t>T3</t>
        </is>
      </c>
      <c r="H36" s="20" t="inlineStr">
        <is>
          <t>Review of AI DC electricity demand &amp; grid impacts</t>
        </is>
      </c>
      <c r="I36" s="20" t="inlineStr">
        <is>
          <t>N</t>
        </is>
      </c>
      <c r="J36" s="20" t="n">
        <v>2</v>
      </c>
      <c r="K36" s="20" t="inlineStr">
        <is>
          <t>Track-3 grid-impacts context / must-cite candidate</t>
        </is>
      </c>
      <c r="L36" s="23" t="inlineStr">
        <is>
          <t>N</t>
        </is>
      </c>
      <c r="M36" s="20" t="inlineStr">
        <is>
          <t>Verify</t>
        </is>
      </c>
    </row>
    <row r="37" ht="45.75" customHeight="1" s="18">
      <c r="A37" s="20" t="n">
        <v>3</v>
      </c>
      <c r="B37" s="20" t="inlineStr">
        <is>
          <t>Guidi &amp; Dominici - The Hidden Water Geography of US Hyperscale Data Centers</t>
        </is>
      </c>
      <c r="C37" s="20" t="inlineStr">
        <is>
          <t>arXiv 2607.02531</t>
        </is>
      </c>
      <c r="D37" s="20" t="inlineStr">
        <is>
          <t>2026 (Harvard)</t>
        </is>
      </c>
      <c r="E37" s="20" t="inlineStr">
        <is>
          <t>A-Accounting/Water</t>
        </is>
      </c>
      <c r="F37" s="20" t="inlineStr">
        <is>
          <t>sub-national water footprint; distributional hotspots</t>
        </is>
      </c>
      <c r="G37" s="20" t="inlineStr">
        <is>
          <t>T1/T3</t>
        </is>
      </c>
      <c r="H37" s="20" t="inlineStr">
        <is>
          <t>Accounting of on-site cooling vs electricity-related water across 472 US hyperscale DCs; identifies basin/grid hotspots</t>
        </is>
      </c>
      <c r="I37" s="20" t="inlineStr">
        <is>
          <t>N</t>
        </is>
      </c>
      <c r="J37" s="21" t="n">
        <v>5</v>
      </c>
      <c r="K37" s="20" t="inlineStr">
        <is>
          <t>CLOSEST water neighbor: water-ONLY (no joint carbon), NO counterfactual, US-only -&gt; our joint+counterfactual+multi-region survives</t>
        </is>
      </c>
      <c r="L37" s="22" t="inlineStr">
        <is>
          <t>Y</t>
        </is>
      </c>
      <c r="M37" s="20" t="inlineStr">
        <is>
          <t>VERIFIED-FULL (updated). Guidi/Dominici WATER companion to 2606.05420 (cites it). 472 hyperscale DCs; Scope-1 basin + Scope-2 BA; USES Aqueduct 4.0 SCARCITY-weighting; simple forward counterfactual (25th-pctile BA benchmark). ~300 GL/yr (75% off-site). WATER-only, avg (not marginal), US-only, no inference. TOGETHER with 2606.05420 = biggest joint-claim scoop risk (but split across 2 papers, avg carbon, no EU/India/inference). MUST-CITE both.</t>
        </is>
      </c>
    </row>
    <row r="38" ht="34.5" customHeight="1" s="18">
      <c r="A38" s="20" t="n">
        <v>7</v>
      </c>
      <c r="B38" s="20" t="inlineStr">
        <is>
          <t>Vabson, Zater, Sajadi, Baker &amp; Hodge - Optimal County-Level Siting of Data Centers in the US</t>
        </is>
      </c>
      <c r="C38" s="20" t="inlineStr">
        <is>
          <t>arXiv 2601.16315</t>
        </is>
      </c>
      <c r="D38" s="20" t="inlineStr">
        <is>
          <t>2026 (CU Boulder/NREL)</t>
        </is>
      </c>
      <c r="E38" s="20" t="inlineStr">
        <is>
          <t>E-Siting/Optim</t>
        </is>
      </c>
      <c r="F38" s="20" t="inlineStr">
        <is>
          <t>county siting; grid+water+generation</t>
        </is>
      </c>
      <c r="G38" s="20" t="inlineStr">
        <is>
          <t>T3</t>
        </is>
      </c>
      <c r="H38" s="20" t="inlineStr">
        <is>
          <t>County-level multi-factor siting optimization (grid, water, collocated generation)</t>
        </is>
      </c>
      <c r="I38" s="20" t="inlineStr">
        <is>
          <t>N</t>
        </is>
      </c>
      <c r="J38" s="21" t="n">
        <v>5</v>
      </c>
      <c r="K38" s="20" t="inlineStr">
        <is>
          <t>CLOSEST counterfactual neighbor: capital-COST-dominated, carbon only via renewables, NO equity, US-only, sites NEW BUILD not workload</t>
        </is>
      </c>
      <c r="L38" s="22" t="inlineStr">
        <is>
          <t>Y</t>
        </is>
      </c>
      <c r="M38" s="20" t="inlineStr">
        <is>
          <t>PRIMARY-READ (abstract). Our inference-workload counterfactual + equity survives</t>
        </is>
      </c>
    </row>
    <row r="39" ht="34.5" customHeight="1" s="18">
      <c r="A39" s="20" t="n">
        <v>5</v>
      </c>
      <c r="B39" s="20" t="inlineStr">
        <is>
          <t>Siddik, Shehabi &amp; Marston - The environmental footprint of data centers in the US</t>
        </is>
      </c>
      <c r="C39" s="20" t="inlineStr">
        <is>
          <t>10.1088/1748-9326/abfba1</t>
        </is>
      </c>
      <c r="D39" s="20" t="inlineStr">
        <is>
          <t>ERL 2021</t>
        </is>
      </c>
      <c r="E39" s="20" t="inlineStr">
        <is>
          <t>A-Accounting/Water-Carbon</t>
        </is>
      </c>
      <c r="F39" s="20" t="inlineStr">
        <is>
          <t>US DC water+energy+carbon footprint; sub-national</t>
        </is>
      </c>
      <c r="G39" s="20" t="inlineStr">
        <is>
          <t>T1/T3</t>
        </is>
      </c>
      <c r="H39" s="20" t="inlineStr">
        <is>
          <t>Bottom-up US DC water, energy &amp; carbon footprint by county/watershed</t>
        </is>
      </c>
      <c r="I39" s="20" t="inlineStr">
        <is>
          <t>Y(open)</t>
        </is>
      </c>
      <c r="J39" s="21" t="n">
        <v>5</v>
      </c>
      <c r="K39" s="20" t="inlineStr">
        <is>
          <t>Foundational US DC footprint; water-centric; no equity-counterfactual, no EU/India, no marginal carbon</t>
        </is>
      </c>
      <c r="L39" s="23" t="inlineStr">
        <is>
          <t>N</t>
        </is>
      </c>
      <c r="M39" s="20" t="inlineStr">
        <is>
          <t>MUST-CITE + near-neighbor. Likely source of sub-national water numbers (from prior sheet)</t>
        </is>
      </c>
    </row>
    <row r="40" ht="23.25" customHeight="1" s="18">
      <c r="A40" s="20" t="n">
        <v>5</v>
      </c>
      <c r="B40" s="20" t="inlineStr">
        <is>
          <t>Siddik, Shehabi, Rao &amp; Marston - Spatially &amp; Temporally Detailed Water [footprint US DCs]</t>
        </is>
      </c>
      <c r="C40" s="20" t="inlineStr">
        <is>
          <t>10.1029/2024WR038350</t>
        </is>
      </c>
      <c r="D40" s="20" t="inlineStr">
        <is>
          <t>Water Resources Res. 2024</t>
        </is>
      </c>
      <c r="E40" s="20" t="inlineStr">
        <is>
          <t>A-Accounting/Water</t>
        </is>
      </c>
      <c r="F40" s="20" t="inlineStr">
        <is>
          <t>spatiotemporal sub-national water</t>
        </is>
      </c>
      <c r="G40" s="20" t="inlineStr">
        <is>
          <t>T1</t>
        </is>
      </c>
      <c r="H40" s="20" t="inlineStr">
        <is>
          <t>Spatially+temporally detailed US DC water footprint</t>
        </is>
      </c>
      <c r="I40" s="20" t="inlineStr">
        <is>
          <t>N</t>
        </is>
      </c>
      <c r="J40" s="21" t="n">
        <v>5</v>
      </c>
      <c r="K40" s="20" t="inlineStr">
        <is>
          <t>Sub-national temporal WATER only; scoop-WATCH; no joint carbon/counterfactual/equity/multi-region</t>
        </is>
      </c>
      <c r="L40" s="23" t="inlineStr">
        <is>
          <t>N</t>
        </is>
      </c>
      <c r="M40" s="20" t="inlineStr">
        <is>
          <t>Near-neighbor. VERIFY + read (WRR, may be paywalled)</t>
        </is>
      </c>
    </row>
    <row r="41" ht="34.5" customHeight="1" s="18">
      <c r="A41" s="20" t="n">
        <v>6</v>
      </c>
      <c r="B41" s="20" t="inlineStr">
        <is>
          <t>Macknick, Newmark, Heath &amp; Hallett - Operational water consumption &amp; withdrawal factors</t>
        </is>
      </c>
      <c r="C41" s="20" t="inlineStr">
        <is>
          <t>10.1088/1748-9326/7/4/045802</t>
        </is>
      </c>
      <c r="D41" s="20" t="inlineStr">
        <is>
          <t>ERL 2012</t>
        </is>
      </c>
      <c r="E41" s="20" t="inlineStr">
        <is>
          <t>A-Accounting/Water-coeff</t>
        </is>
      </c>
      <c r="F41" s="20" t="inlineStr">
        <is>
          <t>EWIF by generation technology</t>
        </is>
      </c>
      <c r="G41" s="20" t="inlineStr">
        <is>
          <t>T1</t>
        </is>
      </c>
      <c r="H41" s="20" t="inlineStr">
        <is>
          <t>Canonical operational water withdrawal/consumption factors per electricity-generation technology</t>
        </is>
      </c>
      <c r="I41" s="20" t="inlineStr">
        <is>
          <t>Y(open)</t>
        </is>
      </c>
      <c r="J41" s="21" t="n">
        <v>5</v>
      </c>
      <c r="K41" s="20" t="inlineStr">
        <is>
          <t>THE EWIF source that FILLS our scope-2 water data gap</t>
        </is>
      </c>
      <c r="L41" s="23" t="inlineStr">
        <is>
          <t>N</t>
        </is>
      </c>
      <c r="M41" s="20" t="inlineStr">
        <is>
          <t>DATA FILL. From prior sheet</t>
        </is>
      </c>
    </row>
    <row r="42" ht="34.5" customHeight="1" s="18">
      <c r="A42" s="20" t="n">
        <v>10</v>
      </c>
      <c r="B42" s="20" t="inlineStr">
        <is>
          <t>Grubert &amp; Sanders - Water Use in the US Energy System</t>
        </is>
      </c>
      <c r="C42" s="20" t="inlineStr">
        <is>
          <t>10.1021/acs.est.8b00139</t>
        </is>
      </c>
      <c r="D42" s="20" t="inlineStr">
        <is>
          <t>ES&amp;T 2018</t>
        </is>
      </c>
      <c r="E42" s="20" t="inlineStr">
        <is>
          <t>A-Accounting/Water-coeff</t>
        </is>
      </c>
      <c r="F42" s="20" t="inlineStr">
        <is>
          <t>energy-system water use</t>
        </is>
      </c>
      <c r="G42" s="20" t="inlineStr">
        <is>
          <t>T1</t>
        </is>
      </c>
      <c r="H42" s="20" t="inlineStr">
        <is>
          <t>Comprehensive US energy-system water withdrawal/consumption inventory</t>
        </is>
      </c>
      <c r="I42" s="20" t="inlineStr">
        <is>
          <t>N</t>
        </is>
      </c>
      <c r="J42" s="20" t="n">
        <v>3</v>
      </c>
      <c r="K42" s="20" t="inlineStr">
        <is>
          <t>Water-coefficient support for scope-2</t>
        </is>
      </c>
      <c r="L42" s="23" t="inlineStr">
        <is>
          <t>N</t>
        </is>
      </c>
      <c r="M42" s="20" t="inlineStr">
        <is>
          <t>From prior sheet</t>
        </is>
      </c>
    </row>
    <row r="43" ht="23.25" customHeight="1" s="18">
      <c r="A43" s="20" t="n">
        <v>10</v>
      </c>
      <c r="B43" s="20" t="inlineStr">
        <is>
          <t>Chini, Djehdian, Lubega &amp; Stillwell - Virtual water transfers of the US electric grid</t>
        </is>
      </c>
      <c r="C43" s="20" t="inlineStr">
        <is>
          <t>10.1038/s41560-018-0266-1</t>
        </is>
      </c>
      <c r="D43" s="20" t="inlineStr">
        <is>
          <t>Nature Energy 2018</t>
        </is>
      </c>
      <c r="E43" s="20" t="inlineStr">
        <is>
          <t>A-Accounting/Water-coeff</t>
        </is>
      </c>
      <c r="F43" s="20" t="inlineStr">
        <is>
          <t>spatial scope-2 water; grid transfers</t>
        </is>
      </c>
      <c r="G43" s="20" t="inlineStr">
        <is>
          <t>T1/T3</t>
        </is>
      </c>
      <c r="H43" s="20" t="inlineStr">
        <is>
          <t>Maps virtual water embedded in electricity traded across the US grid</t>
        </is>
      </c>
      <c r="I43" s="20" t="inlineStr">
        <is>
          <t>N</t>
        </is>
      </c>
      <c r="J43" s="20" t="n">
        <v>3</v>
      </c>
      <c r="K43" s="20" t="inlineStr">
        <is>
          <t>Spatial scope-2 water method</t>
        </is>
      </c>
      <c r="L43" s="23" t="inlineStr">
        <is>
          <t>N</t>
        </is>
      </c>
      <c r="M43" s="20" t="inlineStr">
        <is>
          <t>From prior sheet</t>
        </is>
      </c>
    </row>
    <row r="44" ht="23.25" customHeight="1" s="18">
      <c r="A44" s="20" t="n">
        <v>10</v>
      </c>
      <c r="B44" s="20" t="inlineStr">
        <is>
          <t>Mytton - Data centre water consumption</t>
        </is>
      </c>
      <c r="C44" s="20" t="inlineStr">
        <is>
          <t>10.1038/s41545-021-00101-w</t>
        </is>
      </c>
      <c r="D44" s="20" t="inlineStr">
        <is>
          <t>npj Clean Water 2021</t>
        </is>
      </c>
      <c r="E44" s="20" t="inlineStr">
        <is>
          <t>A-Accounting/Water</t>
        </is>
      </c>
      <c r="F44" s="20" t="inlineStr">
        <is>
          <t>DC water transparency; WUE</t>
        </is>
      </c>
      <c r="G44" s="20" t="inlineStr">
        <is>
          <t>T1/T2</t>
        </is>
      </c>
      <c r="H44" s="20" t="inlineStr">
        <is>
          <t>Reviews DC water consumption + transparency gaps</t>
        </is>
      </c>
      <c r="I44" s="20" t="inlineStr">
        <is>
          <t>Y</t>
        </is>
      </c>
      <c r="J44" s="20" t="n">
        <v>3</v>
      </c>
      <c r="K44" s="20" t="inlineStr">
        <is>
          <t>Water background + transparency case</t>
        </is>
      </c>
      <c r="L44" s="23" t="inlineStr">
        <is>
          <t>N</t>
        </is>
      </c>
      <c r="M44" s="20" t="inlineStr">
        <is>
          <t>From prior sheet</t>
        </is>
      </c>
    </row>
    <row r="45" ht="23.25" customHeight="1" s="18">
      <c r="A45" s="20" t="n">
        <v>10</v>
      </c>
      <c r="B45" s="20" t="inlineStr">
        <is>
          <t>Vaca-Jimenez et al. - Unreflective use of old water-coefficient data</t>
        </is>
      </c>
      <c r="C45" s="20" t="inlineStr">
        <is>
          <t>10.1038/s41893-021-00686-7</t>
        </is>
      </c>
      <c r="D45" s="20" t="inlineStr">
        <is>
          <t>Nature Sustainability 2021</t>
        </is>
      </c>
      <c r="E45" s="20" t="inlineStr">
        <is>
          <t>A-Accounting/Water-coeff</t>
        </is>
      </c>
      <c r="F45" s="20" t="inlineStr">
        <is>
          <t>water coefficient uncertainty</t>
        </is>
      </c>
      <c r="G45" s="20" t="inlineStr">
        <is>
          <t>T1</t>
        </is>
      </c>
      <c r="H45" s="20" t="inlineStr">
        <is>
          <t>Critique: stale water coefficients bias footprint estimates</t>
        </is>
      </c>
      <c r="I45" s="20" t="inlineStr">
        <is>
          <t>N</t>
        </is>
      </c>
      <c r="J45" s="20" t="n">
        <v>3</v>
      </c>
      <c r="K45" s="20" t="inlineStr">
        <is>
          <t>CAUTION on EWIF vintage -&gt; methods rigor</t>
        </is>
      </c>
      <c r="L45" s="23" t="inlineStr">
        <is>
          <t>N</t>
        </is>
      </c>
      <c r="M45" s="20" t="inlineStr">
        <is>
          <t>From prior sheet</t>
        </is>
      </c>
    </row>
    <row r="46" ht="23.25" customHeight="1" s="18">
      <c r="A46" s="20" t="n">
        <v>9</v>
      </c>
      <c r="B46" s="20" t="inlineStr">
        <is>
          <t>Dodge et al. - Measuring the Carbon Intensity of AI in Cloud Instances</t>
        </is>
      </c>
      <c r="C46" s="20" t="inlineStr">
        <is>
          <t>FAccT 2022 (verify id)</t>
        </is>
      </c>
      <c r="D46" s="20" t="inlineStr">
        <is>
          <t>FAccT 2022</t>
        </is>
      </c>
      <c r="E46" s="20" t="inlineStr">
        <is>
          <t>A-Accounting/Carbon</t>
        </is>
      </c>
      <c r="F46" s="20" t="inlineStr">
        <is>
          <t>spatial carbon intensity of AI; placement</t>
        </is>
      </c>
      <c r="G46" s="20" t="inlineStr">
        <is>
          <t>T1</t>
        </is>
      </c>
      <c r="H46" s="20" t="inlineStr">
        <is>
          <t>Measures AI training/inference carbon by cloud region/time</t>
        </is>
      </c>
      <c r="I46" s="20" t="inlineStr">
        <is>
          <t>N</t>
        </is>
      </c>
      <c r="J46" s="20" t="n">
        <v>4</v>
      </c>
      <c r="K46" s="20" t="inlineStr">
        <is>
          <t>'geographic placement is the dominant driver of carbon intensity' -&gt; supports our spatial thesis; carbon-only</t>
        </is>
      </c>
      <c r="L46" s="23" t="inlineStr">
        <is>
          <t>N</t>
        </is>
      </c>
      <c r="M46" s="20" t="inlineStr">
        <is>
          <t>MUST-CITE spatial-carbon. Verify id</t>
        </is>
      </c>
    </row>
    <row r="47" ht="34.5" customHeight="1" s="18">
      <c r="A47" s="20" t="n">
        <v>9</v>
      </c>
      <c r="B47" s="20" t="inlineStr">
        <is>
          <t>Xiao, Fuso Nerini, Matthews, Tavoni &amp; You - Environmental impact &amp; net-zero pathways for US AI</t>
        </is>
      </c>
      <c r="C47" s="20" t="inlineStr">
        <is>
          <t>10.1038/s41893-025-01xxx</t>
        </is>
      </c>
      <c r="D47" s="20" t="inlineStr">
        <is>
          <t>Nature Sustainability 2025</t>
        </is>
      </c>
      <c r="E47" s="20" t="inlineStr">
        <is>
          <t>A-Accounting/Macro</t>
        </is>
      </c>
      <c r="F47" s="20" t="inlineStr">
        <is>
          <t>cumulative footprint; net-zero pathways</t>
        </is>
      </c>
      <c r="G47" s="20" t="inlineStr">
        <is>
          <t>T1/T3</t>
        </is>
      </c>
      <c r="H47" s="20" t="inlineStr">
        <is>
          <t>Models cumulative US AI-server environmental footprint to 2030 + net-zero pathways</t>
        </is>
      </c>
      <c r="I47" s="20" t="inlineStr">
        <is>
          <t>N</t>
        </is>
      </c>
      <c r="J47" s="20" t="n">
        <v>4</v>
      </c>
      <c r="K47" s="20" t="inlineStr">
        <is>
          <t>Macro pathway; not sub-national joint accounting/counterfactual</t>
        </is>
      </c>
      <c r="L47" s="23" t="inlineStr">
        <is>
          <t>N</t>
        </is>
      </c>
      <c r="M47" s="20" t="inlineStr">
        <is>
          <t>Must-cite. Verify DOI</t>
        </is>
      </c>
    </row>
    <row r="48" ht="23.25" customHeight="1" s="18">
      <c r="A48" s="20" t="n">
        <v>2</v>
      </c>
      <c r="B48" s="20" t="inlineStr">
        <is>
          <t>Wang, Han &amp; Wei - Building Accurate Energy-Use Statistics for Data Centers</t>
        </is>
      </c>
      <c r="C48" s="20" t="inlineStr">
        <is>
          <t>10.1016/j.eng.2025.12.xxx</t>
        </is>
      </c>
      <c r="D48" s="20" t="inlineStr">
        <is>
          <t>Engineering 2025</t>
        </is>
      </c>
      <c r="E48" s="20" t="inlineStr">
        <is>
          <t>A-Accounting/Macro</t>
        </is>
      </c>
      <c r="F48" s="20" t="inlineStr">
        <is>
          <t>DC energy statistics; methods</t>
        </is>
      </c>
      <c r="G48" s="20" t="inlineStr">
        <is>
          <t>T1</t>
        </is>
      </c>
      <c r="H48" s="20" t="inlineStr">
        <is>
          <t>Critical methods review for accurate DC energy accounting</t>
        </is>
      </c>
      <c r="I48" s="20" t="inlineStr">
        <is>
          <t>N</t>
        </is>
      </c>
      <c r="J48" s="20" t="n">
        <v>4</v>
      </c>
      <c r="K48" s="20" t="inlineStr">
        <is>
          <t>Anchor-venue methods; energy-centric</t>
        </is>
      </c>
      <c r="L48" s="23" t="inlineStr">
        <is>
          <t>N</t>
        </is>
      </c>
      <c r="M48" s="20" t="inlineStr">
        <is>
          <t>Anchor (from prior sheet). Verify id. Te-Han-adjacent framing</t>
        </is>
      </c>
    </row>
    <row r="49" ht="23.25" customHeight="1" s="18">
      <c r="A49" s="20" t="n">
        <v>11</v>
      </c>
      <c r="B49" s="20" t="inlineStr">
        <is>
          <t>Colangelo et al. - AI data centres as grid-interactive assets</t>
        </is>
      </c>
      <c r="C49" s="20" t="inlineStr">
        <is>
          <t>10.1038/s41560-025-01xxx</t>
        </is>
      </c>
      <c r="D49" s="20" t="inlineStr">
        <is>
          <t>Nature Energy 2025</t>
        </is>
      </c>
      <c r="E49" s="20" t="inlineStr">
        <is>
          <t>E-Grid/Policy</t>
        </is>
      </c>
      <c r="F49" s="20" t="inlineStr">
        <is>
          <t>grid-interactive DC; flexibility</t>
        </is>
      </c>
      <c r="G49" s="20" t="inlineStr">
        <is>
          <t>T3</t>
        </is>
      </c>
      <c r="H49" s="20" t="inlineStr">
        <is>
          <t>Frames AI DCs as flexible grid-interactive assets</t>
        </is>
      </c>
      <c r="I49" s="20" t="inlineStr">
        <is>
          <t>N</t>
        </is>
      </c>
      <c r="J49" s="20" t="n">
        <v>4</v>
      </c>
      <c r="K49" s="20" t="inlineStr">
        <is>
          <t>Policy/flex; energy only; not water/carbon accounting</t>
        </is>
      </c>
      <c r="L49" s="23" t="inlineStr">
        <is>
          <t>N</t>
        </is>
      </c>
      <c r="M49" s="20" t="inlineStr">
        <is>
          <t>Track-3 must-cite. Verify DOI</t>
        </is>
      </c>
    </row>
    <row r="50" ht="34.5" customHeight="1" s="18">
      <c r="A50" s="20" t="n">
        <v>12</v>
      </c>
      <c r="B50" s="20" t="inlineStr">
        <is>
          <t>Norris, Profeta, Patino-Echeverri &amp; Cowie-Haskell - Rethinking Load Growth</t>
        </is>
      </c>
      <c r="C50" s="20" t="inlineStr">
        <is>
          <t>NI R 25-01 (Duke)</t>
        </is>
      </c>
      <c r="D50" s="20" t="inlineStr">
        <is>
          <t>Duke Nicholas Inst. 2025</t>
        </is>
      </c>
      <c r="E50" s="20" t="inlineStr">
        <is>
          <t>E-Grid/Policy</t>
        </is>
      </c>
      <c r="F50" s="20" t="inlineStr">
        <is>
          <t>flexible load; interconnection headroom</t>
        </is>
      </c>
      <c r="G50" s="20" t="inlineStr">
        <is>
          <t>T3</t>
        </is>
      </c>
      <c r="H50" s="20" t="inlineStr">
        <is>
          <t>Shows large flexible loads (DCs) can interconnect with limited new capacity</t>
        </is>
      </c>
      <c r="I50" s="20" t="inlineStr">
        <is>
          <t>N</t>
        </is>
      </c>
      <c r="J50" s="20" t="n">
        <v>3</v>
      </c>
      <c r="K50" s="20" t="inlineStr">
        <is>
          <t>Policy; flexibility; not accounting</t>
        </is>
      </c>
      <c r="L50" s="23" t="inlineStr">
        <is>
          <t>N</t>
        </is>
      </c>
      <c r="M50" s="20" t="inlineStr">
        <is>
          <t>Well-known load-growth report (from prior sheet)</t>
        </is>
      </c>
    </row>
    <row r="51" ht="23.25" customHeight="1" s="18">
      <c r="A51" s="20" t="n">
        <v>12</v>
      </c>
      <c r="B51" s="20" t="inlineStr">
        <is>
          <t>Senga, Wang &amp; Knittel - Flexible data centers reduce power-system cost</t>
        </is>
      </c>
      <c r="C51" s="20" t="inlineStr">
        <is>
          <t>10.1016/j.isci.2026.11xxxx</t>
        </is>
      </c>
      <c r="D51" s="20" t="inlineStr">
        <is>
          <t>iScience 2026</t>
        </is>
      </c>
      <c r="E51" s="20" t="inlineStr">
        <is>
          <t>E-Grid/Policy</t>
        </is>
      </c>
      <c r="F51" s="20" t="inlineStr">
        <is>
          <t>DC flexibility; system cost</t>
        </is>
      </c>
      <c r="G51" s="20" t="inlineStr">
        <is>
          <t>T3</t>
        </is>
      </c>
      <c r="H51" s="20" t="inlineStr">
        <is>
          <t>Quantifies system-cost savings from flexible DC operation</t>
        </is>
      </c>
      <c r="I51" s="20" t="inlineStr">
        <is>
          <t>N</t>
        </is>
      </c>
      <c r="J51" s="20" t="n">
        <v>3</v>
      </c>
      <c r="K51" s="20" t="inlineStr">
        <is>
          <t>Policy/cost; not water/carbon accounting</t>
        </is>
      </c>
      <c r="L51" s="23" t="inlineStr">
        <is>
          <t>N</t>
        </is>
      </c>
      <c r="M51" s="20" t="inlineStr">
        <is>
          <t>From prior sheet. Verify</t>
        </is>
      </c>
    </row>
    <row r="52" ht="34.5" customHeight="1" s="18">
      <c r="A52" s="20" t="n">
        <v>12</v>
      </c>
      <c r="B52" s="20" t="inlineStr">
        <is>
          <t>Commission Delegated Regulation (EU) 2024/1364 - DC sustainability reporting</t>
        </is>
      </c>
      <c r="C52" s="20" t="inlineStr">
        <is>
          <t>EU 2024/1364</t>
        </is>
      </c>
      <c r="D52" s="20" t="inlineStr">
        <is>
          <t>EUR-Lex 2024</t>
        </is>
      </c>
      <c r="E52" s="20" t="inlineStr">
        <is>
          <t>E-Policy</t>
        </is>
      </c>
      <c r="F52" s="20" t="inlineStr">
        <is>
          <t>DC reporting; transparency; water+energy</t>
        </is>
      </c>
      <c r="G52" s="20" t="inlineStr">
        <is>
          <t>T2</t>
        </is>
      </c>
      <c r="H52" s="20" t="inlineStr">
        <is>
          <t>EU regulation mandating DC energy+water sustainability reporting</t>
        </is>
      </c>
      <c r="I52" s="20" t="inlineStr">
        <is>
          <t>Y</t>
        </is>
      </c>
      <c r="J52" s="20" t="n">
        <v>3</v>
      </c>
      <c r="K52" s="20" t="inlineStr">
        <is>
          <t>Policy anchor for transparency/disclosure framing</t>
        </is>
      </c>
      <c r="L52" s="23" t="inlineStr">
        <is>
          <t>N</t>
        </is>
      </c>
      <c r="M52" s="20" t="inlineStr">
        <is>
          <t>Policy must-cite (T2/socio-institutional)</t>
        </is>
      </c>
    </row>
    <row r="53" ht="34.5" customHeight="1" s="18">
      <c r="A53" s="20" t="n">
        <v>8</v>
      </c>
      <c r="B53" s="20" t="inlineStr">
        <is>
          <t>Islam, Ren, Quan, Shakir &amp; Vasilakos - WATCH: water-aware scheduling</t>
        </is>
      </c>
      <c r="C53" s="20" t="inlineStr">
        <is>
          <t>10.1109/TCC.2015.2453982</t>
        </is>
      </c>
      <c r="D53" s="20" t="inlineStr">
        <is>
          <t>IEEE TCC 2015</t>
        </is>
      </c>
      <c r="E53" s="20" t="inlineStr">
        <is>
          <t>C-Water/Decision</t>
        </is>
      </c>
      <c r="F53" s="20" t="inlineStr">
        <is>
          <t>water budget; annual cap</t>
        </is>
      </c>
      <c r="G53" s="20" t="inlineStr">
        <is>
          <t>T1</t>
        </is>
      </c>
      <c r="H53" s="20" t="inlineStr">
        <is>
          <t>Schedules DC load under an annual water budget floored at zero</t>
        </is>
      </c>
      <c r="I53" s="20" t="inlineStr">
        <is>
          <t>N</t>
        </is>
      </c>
      <c r="J53" s="20" t="n">
        <v>4</v>
      </c>
      <c r="K53" s="20" t="inlineStr">
        <is>
          <t>IRREVERSIBILITY PRECEDENT: budget, NOT a physical stock -&gt; our stock/drawdown framing differs</t>
        </is>
      </c>
      <c r="L53" s="23" t="inlineStr">
        <is>
          <t>N</t>
        </is>
      </c>
      <c r="M53" s="20" t="inlineStr">
        <is>
          <t>Steal-from-prior-GapB anchor</t>
        </is>
      </c>
    </row>
    <row r="54" ht="23.25" customHeight="1" s="18">
      <c r="A54" s="20" t="n">
        <v>8</v>
      </c>
      <c r="B54" s="20" t="inlineStr">
        <is>
          <t>Talukder, Bin Rahim, Sen Gupta, Ren &amp; Islam - Balancing Bits and Drops</t>
        </is>
      </c>
      <c r="C54" s="20" t="inlineStr">
        <is>
          <t>arXiv 2607.22617</t>
        </is>
      </c>
      <c r="D54" s="20" t="inlineStr">
        <is>
          <t>2026</t>
        </is>
      </c>
      <c r="E54" s="20" t="inlineStr">
        <is>
          <t>C-Water/Decision</t>
        </is>
      </c>
      <c r="F54" s="20" t="inlineStr">
        <is>
          <t>water-aware LLM scheduling</t>
        </is>
      </c>
      <c r="G54" s="20" t="inlineStr">
        <is>
          <t>T1</t>
        </is>
      </c>
      <c r="H54" s="20" t="inlineStr">
        <is>
          <t>Water-aware workload scheduling for LLM serving</t>
        </is>
      </c>
      <c r="I54" s="20" t="inlineStr">
        <is>
          <t>N</t>
        </is>
      </c>
      <c r="J54" s="20" t="n">
        <v>4</v>
      </c>
      <c r="K54" s="20" t="inlineStr">
        <is>
          <t>Per-period water FLOW optimizer (like all others) -&gt; our stock/accounting framing differs; kill-list-adjacent</t>
        </is>
      </c>
      <c r="L54" s="23" t="inlineStr">
        <is>
          <t>N</t>
        </is>
      </c>
      <c r="M54" s="20" t="inlineStr">
        <is>
          <t>Recent water-aware near-neighbor</t>
        </is>
      </c>
    </row>
    <row r="55" ht="23.25" customHeight="1" s="18">
      <c r="A55" s="20" t="n">
        <v>8</v>
      </c>
      <c r="B55" s="20" t="inlineStr">
        <is>
          <t>Moore, Qi, Hogade, Milojicic, Bash &amp; Pasricha - SLIT</t>
        </is>
      </c>
      <c r="C55" s="20" t="inlineStr">
        <is>
          <t>10.1145/3716368.3735301</t>
        </is>
      </c>
      <c r="D55" s="20" t="inlineStr">
        <is>
          <t>GLSVLSI 2025</t>
        </is>
      </c>
      <c r="E55" s="20" t="inlineStr">
        <is>
          <t>C-Water/Decision</t>
        </is>
      </c>
      <c r="F55" s="20" t="inlineStr">
        <is>
          <t>joint carbon-water LLM scheduling</t>
        </is>
      </c>
      <c r="G55" s="20" t="inlineStr">
        <is>
          <t>T1</t>
        </is>
      </c>
      <c r="H55" s="20" t="inlineStr">
        <is>
          <t>Sustainable LLM inference scheduling (carbon+water)</t>
        </is>
      </c>
      <c r="I55" s="20" t="inlineStr">
        <is>
          <t>N</t>
        </is>
      </c>
      <c r="J55" s="20" t="n">
        <v>3</v>
      </c>
      <c r="K55" s="20" t="inlineStr">
        <is>
          <t>Per-period optimizer; kill-list</t>
        </is>
      </c>
      <c r="L55" s="23" t="inlineStr">
        <is>
          <t>N</t>
        </is>
      </c>
      <c r="M55" s="20" t="inlineStr">
        <is>
          <t>(= the GLSVLSI'25 joint scheduler already noted)</t>
        </is>
      </c>
    </row>
    <row r="56" ht="34.5" customHeight="1" s="18">
      <c r="A56" s="20" t="n">
        <v>13</v>
      </c>
      <c r="B56" s="20" t="inlineStr">
        <is>
          <t>Wiesner et al. - Quality Time: carbon value-of-information</t>
        </is>
      </c>
      <c r="C56" s="20" t="inlineStr">
        <is>
          <t>arXiv 2411.19058</t>
        </is>
      </c>
      <c r="D56" s="20" t="inlineStr">
        <is>
          <t>2024/25</t>
        </is>
      </c>
      <c r="E56" s="20" t="inlineStr">
        <is>
          <t>B-Decision/VoI</t>
        </is>
      </c>
      <c r="F56" s="20" t="inlineStr">
        <is>
          <t>value of forecast information; carbon</t>
        </is>
      </c>
      <c r="G56" s="20" t="inlineStr">
        <is>
          <t>T1</t>
        </is>
      </c>
      <c r="H56" s="20" t="inlineStr">
        <is>
          <t>Quantifies the value of carbon-forecast information for shifting (82+/-6%)</t>
        </is>
      </c>
      <c r="I56" s="20" t="inlineStr">
        <is>
          <t>N</t>
        </is>
      </c>
      <c r="J56" s="20" t="n">
        <v>3</v>
      </c>
      <c r="K56" s="20" t="inlineStr">
        <is>
          <t>Carbon VoI occupied; water VoI open -&gt; supports our water focus</t>
        </is>
      </c>
      <c r="L56" s="23" t="inlineStr">
        <is>
          <t>N</t>
        </is>
      </c>
      <c r="M56" s="20" t="inlineStr">
        <is>
          <t>From prior sheet</t>
        </is>
      </c>
    </row>
    <row r="57" ht="23.25" customHeight="1" s="18">
      <c r="A57" s="20" t="n">
        <v>2</v>
      </c>
      <c r="B57" s="20" t="inlineStr">
        <is>
          <t>[Target journal] Advances &amp; challenges in energy &amp; climate [AI modeling]</t>
        </is>
      </c>
      <c r="C57" s="20" t="inlineStr">
        <is>
          <t>S2666792425000058</t>
        </is>
      </c>
      <c r="D57" s="20" t="inlineStr">
        <is>
          <t>Advances in Applied Energy 17 (2025)</t>
        </is>
      </c>
      <c r="E57" s="20" t="inlineStr">
        <is>
          <t>A-Accounting/Survey</t>
        </is>
      </c>
      <c r="F57" s="20" t="inlineStr">
        <is>
          <t>AI in energy &amp; climate; DC growth</t>
        </is>
      </c>
      <c r="G57" s="20" t="inlineStr">
        <is>
          <t>T1/T3</t>
        </is>
      </c>
      <c r="H57" s="20" t="inlineStr">
        <is>
          <t>In-journal review mapping AI/DC energy-climate landscape</t>
        </is>
      </c>
      <c r="I57" s="20" t="inlineStr">
        <is>
          <t>N</t>
        </is>
      </c>
      <c r="J57" s="20" t="n">
        <v>2</v>
      </c>
      <c r="K57" s="20" t="inlineStr">
        <is>
          <t>IN-JOURNAL must-cite + positioning</t>
        </is>
      </c>
      <c r="L57" s="23" t="inlineStr">
        <is>
          <t>Y</t>
        </is>
      </c>
      <c r="M57" s="20" t="inlineStr">
        <is>
          <t>VERIFIED-FULL (uploaded PDF, 2026-09-14). CORRECTION: this is in ADVANCES IN APPLIED ENERGY 17(2025)100211 (Shobanke, Bhatt, Shittu, George Washington U), NOT Energy &amp; Climate Change as the roster assumed. PRISMA-ScR scoping review of ~183 papers on AI/ML AS A TOOL for energy-system + climate MODELING (supervised/unsupervised/RL, neural nets, predictive analytics) - NOT about the environmental FOOTPRINT of AI/data centers. NO datacenter carbon/water/marginal/siting content. NOT a scoop. CONTEXT only - cite optionally for AI/ML-for-energy-modeling framing relevant to our S11 forecast models + the Te Han (ML-for-energy) editor alignment.</t>
        </is>
      </c>
    </row>
    <row r="58" ht="57" customHeight="1" s="18">
      <c r="A58" s="20" t="n">
        <v>30</v>
      </c>
      <c r="B58" s="20" t="inlineStr">
        <is>
          <t>[PRIOR-DIRECTION CORPUS ARCHIVE] GNN architectures + null-methodology + forecast-combination (~40 papers)</t>
        </is>
      </c>
      <c r="C58" s="20" t="inlineStr">
        <is>
          <t>see coding_sheet_1.xlsx</t>
        </is>
      </c>
      <c r="D58" s="20" t="inlineStr">
        <is>
          <t>2017-2026</t>
        </is>
      </c>
      <c r="E58" s="20" t="inlineStr">
        <is>
          <t>Z-Prior-Direction</t>
        </is>
      </c>
      <c r="F58" s="20" t="inlineStr">
        <is>
          <t>GNN forecasting / null-model ladder</t>
        </is>
      </c>
      <c r="G58" s="20" t="inlineStr">
        <is>
          <t>-</t>
        </is>
      </c>
      <c r="H58" s="20" t="inlineStr">
        <is>
          <t>Papers serving the ABANDONED GNN/forecasting direction (DCRNN,STGCN,GraphWaveNet,GAT,Zugner,Errica,Fosdick,rank-collapse,MinT,FFORMA...)</t>
        </is>
      </c>
      <c r="I58" s="20" t="inlineStr">
        <is>
          <t>n/a</t>
        </is>
      </c>
      <c r="J58" s="20" t="n">
        <v>1</v>
      </c>
      <c r="K58" s="20" t="inlineStr">
        <is>
          <t>NOT integrated into A+B; archived in uploaded coding_sheet_1.xlsx. Promote only if a forecasting/grid-CI component re-enters</t>
        </is>
      </c>
      <c r="L58" s="23" t="inlineStr">
        <is>
          <t>N</t>
        </is>
      </c>
      <c r="M58" s="20" t="inlineStr">
        <is>
          <t>See PRIOR_SHEETS_REVIEW.md sec5</t>
        </is>
      </c>
    </row>
    <row r="59" ht="23.25" customHeight="1" s="18">
      <c r="A59" s="20" t="n">
        <v>6</v>
      </c>
      <c r="B59" s="20" t="inlineStr">
        <is>
          <t>How Hungry is AI? Benchmarking Energy, Water &amp; Carbon of LLM Inference</t>
        </is>
      </c>
      <c r="C59" s="20" t="inlineStr">
        <is>
          <t>arXiv 2505.09598</t>
        </is>
      </c>
      <c r="D59" s="20" t="inlineStr">
        <is>
          <t>2025 (Providence)</t>
        </is>
      </c>
      <c r="E59" s="20" t="inlineStr">
        <is>
          <t>A-Accounting/Benchmark</t>
        </is>
      </c>
      <c r="F59" s="20" t="inlineStr">
        <is>
          <t>per-inference energy+water+carbon</t>
        </is>
      </c>
      <c r="G59" s="20" t="inlineStr">
        <is>
          <t>T1</t>
        </is>
      </c>
      <c r="H59" s="20" t="inlineStr">
        <is>
          <t>Per-inference benchmark across LLMs incl. proprietary</t>
        </is>
      </c>
      <c r="I59" s="20" t="inlineStr">
        <is>
          <t>N</t>
        </is>
      </c>
      <c r="J59" s="20" t="n">
        <v>3</v>
      </c>
      <c r="K59" s="20" t="inlineStr">
        <is>
          <t>Per-query benchmark; not spatial accounting/counterfactual</t>
        </is>
      </c>
      <c r="L59" s="23" t="inlineStr">
        <is>
          <t>N</t>
        </is>
      </c>
      <c r="M59" s="20" t="inlineStr">
        <is>
          <t>Pinsky group (=WCI). Context/must-cite</t>
        </is>
      </c>
    </row>
    <row r="60" ht="23.25" customHeight="1" s="18">
      <c r="A60" s="20" t="n">
        <v>9</v>
      </c>
      <c r="B60" s="20" t="inlineStr">
        <is>
          <t>Dodge et al. - Measuring the Carbon Intensity of AI in Cloud Instances</t>
        </is>
      </c>
      <c r="C60" s="20" t="inlineStr">
        <is>
          <t>arXiv 2206.05229</t>
        </is>
      </c>
      <c r="D60" s="20" t="inlineStr">
        <is>
          <t>FAccT 2022</t>
        </is>
      </c>
      <c r="E60" s="20" t="inlineStr">
        <is>
          <t>A-Accounting/Carbon</t>
        </is>
      </c>
      <c r="F60" s="20" t="inlineStr">
        <is>
          <t>spatial+temporal carbon of AI; placement</t>
        </is>
      </c>
      <c r="G60" s="20" t="inlineStr">
        <is>
          <t>T1</t>
        </is>
      </c>
      <c r="H60" s="20" t="inlineStr">
        <is>
          <t>Measures AI carbon across cloud regions/time</t>
        </is>
      </c>
      <c r="I60" s="20" t="inlineStr">
        <is>
          <t>N</t>
        </is>
      </c>
      <c r="J60" s="20" t="n">
        <v>4</v>
      </c>
      <c r="K60" s="20" t="inlineStr">
        <is>
          <t>'geographic placement dominant driver'; carbon-only, cloud-region not grid-subnational</t>
        </is>
      </c>
      <c r="L60" s="23" t="inlineStr">
        <is>
          <t>N</t>
        </is>
      </c>
      <c r="M60" s="20" t="inlineStr">
        <is>
          <t>MUST-CITE spatial-carbon. Verify id</t>
        </is>
      </c>
    </row>
    <row r="61">
      <c r="A61" s="17" t="n">
        <v>8</v>
      </c>
      <c r="B61" s="17" t="inlineStr">
        <is>
          <t>Wu, Hua &amp; Ding - Not All Water Consumption Is Equal (SCARF)</t>
        </is>
      </c>
      <c r="C61" s="17" t="inlineStr">
        <is>
          <t>arXiv 2506.22773</t>
        </is>
      </c>
      <c r="D61" s="17" t="inlineStr">
        <is>
          <t>HotCarbon/SIGEnergy 2025</t>
        </is>
      </c>
      <c r="E61" s="17" t="inlineStr">
        <is>
          <t>C-Water/Scarcity-Metric</t>
        </is>
      </c>
      <c r="F61" s="17" t="inlineStr">
        <is>
          <t>water scarcity / sustainable computing</t>
        </is>
      </c>
      <c r="G61" s="17" t="inlineStr">
        <is>
          <t>T1</t>
        </is>
      </c>
      <c r="H61" s="17" t="inlineStr">
        <is>
          <t>Scarcity-weighted water AWI=(Won+Woff)*WSF (Aqueduct 4.0 basin, current+2030/50/80); location+time optimization; LLM serving (Qwen)</t>
        </is>
      </c>
      <c r="I61" s="17" t="inlineStr">
        <is>
          <t>Y (Aqueduct API; public)</t>
        </is>
      </c>
      <c r="J61" s="17" t="n">
        <v>5</v>
      </c>
      <c r="K61" s="17" t="inlineStr">
        <is>
          <t>Water-only (no carbon); US-centric facilities; Aqueduct baseline stress; no policy counterfactual -&gt; our JOINT marginal-carbon+scarcity, US/EU/India, policy-counterfactual</t>
        </is>
      </c>
      <c r="L61" s="17" t="inlineStr">
        <is>
          <t>Y</t>
        </is>
      </c>
      <c r="M61" s="17" t="inlineStr">
        <is>
          <t>VERIFIED primary 2026-09-13 deep-dive. CLOSEST water-axis near-neighbor. MUST-CITE (was missing from roster).</t>
        </is>
      </c>
    </row>
    <row r="62">
      <c r="A62" s="17" t="n">
        <v>19</v>
      </c>
      <c r="B62" s="17" t="inlineStr">
        <is>
          <t>Attenni et al. - Spatio-Temporal Shifting (Carbon, Water, Land)</t>
        </is>
      </c>
      <c r="C62" s="17" t="inlineStr">
        <is>
          <t>arXiv 2512.08725</t>
        </is>
      </c>
      <c r="D62" s="17" t="inlineStr">
        <is>
          <t>2025 (under review)</t>
        </is>
      </c>
      <c r="E62" s="17" t="inlineStr">
        <is>
          <t>C-Joint/Shifting</t>
        </is>
      </c>
      <c r="F62" s="17" t="inlineStr">
        <is>
          <t>carbon+water+land shifting</t>
        </is>
      </c>
      <c r="G62" s="17" t="inlineStr">
        <is>
          <t>T1/T3</t>
        </is>
      </c>
      <c r="H62" s="17" t="inlineStr">
        <is>
          <t>Greedy spatial/temporal shifter (discrete-event sim); accounting layer (CI / WUE+EWIF / LUE+ELIF)*PUE; AVG carbon; PHYSICAL water</t>
        </is>
      </c>
      <c r="I62" s="17" t="inlineStr">
        <is>
          <t>Y (real Azure/AWS; US x4 + EU x3, no India)</t>
        </is>
      </c>
      <c r="J62" s="17" t="n">
        <v>4</v>
      </c>
      <c r="K62" s="17" t="inlineStr">
        <is>
          <t>Avg carbon; physical water (scarcity=future work); generic FaaS/big-data (not inference); no India; IS a shifter/router -&gt; our marginal+scarcity+inference+India+counterfactual all open</t>
        </is>
      </c>
      <c r="L62" s="17" t="inlineStr">
        <is>
          <t>Y</t>
        </is>
      </c>
      <c r="M62" s="17" t="inlineStr">
        <is>
          <t>VERIFIED primary 2026-09-13 deep-dive. Closest joint carbon+water shifter; does NOT scoop us (was missing from roster).</t>
        </is>
      </c>
    </row>
    <row r="63">
      <c r="A63" s="17" t="n">
        <v>7</v>
      </c>
      <c r="B63" s="17" t="inlineStr">
        <is>
          <t>Guidi, Dominici et al. - Assessing Carbon Emissions &amp; Energy of US Hyperscale DCs</t>
        </is>
      </c>
      <c r="C63" s="17" t="inlineStr">
        <is>
          <t>arXiv 2606.05420</t>
        </is>
      </c>
      <c r="D63" s="17" t="inlineStr">
        <is>
          <t>2026 (Harvard)</t>
        </is>
      </c>
      <c r="E63" s="17" t="inlineStr">
        <is>
          <t>A-Accounting/Carbon</t>
        </is>
      </c>
      <c r="F63" s="17" t="inlineStr">
        <is>
          <t>carbon sub-national</t>
        </is>
      </c>
      <c r="G63" s="17" t="inlineStr">
        <is>
          <t>T1</t>
        </is>
      </c>
      <c r="H63" s="17" t="inlineStr">
        <is>
          <t>403 hyperscale DCs; BA-level carbon; ~545 gCO2/kWh (48% above US avg); ~90% demand in above-avg-carbon BAs</t>
        </is>
      </c>
      <c r="I63" s="17" t="inlineStr">
        <is>
          <t>Y</t>
        </is>
      </c>
      <c r="J63" s="17" t="n">
        <v>5</v>
      </c>
      <c r="K63" s="17" t="inlineStr">
        <is>
          <t>SCOOP-RISK carbon (same group as 2411.09786/2607.02531); no water, no EU/India, no inference-query attribution, no policy lever</t>
        </is>
      </c>
      <c r="L63" s="17" t="inlineStr">
        <is>
          <t>Y</t>
        </is>
      </c>
      <c r="M63" s="17" t="inlineStr">
        <is>
          <t>VERIFIED-FULL. AVERAGE/attributional BA-weighted carbon; EXPLICITLY defers marginal to future work (direct quote). No water/EU/India/inference/counterfactual. 545 gCO2/kWh=48% above avg; 68-99 TWh; 37-54 Mt. Hyperscale-only (N=403) vs 2411.09786 all-DC (N=2132, 548) - distinct cuts, not superseding. OUR MARGINAL AXIS SURVIVES. MUST-CITE avg-carbon benchmark.</t>
        </is>
      </c>
    </row>
    <row r="64">
      <c r="A64" s="17" t="n">
        <v>8</v>
      </c>
      <c r="B64" s="17" t="inlineStr">
        <is>
          <t>Han, Li, Wierman, Ren - Small Bottle, Big Pipe (public water systems)</t>
        </is>
      </c>
      <c r="C64" s="17" t="inlineStr">
        <is>
          <t>arXiv 2603.02705</t>
        </is>
      </c>
      <c r="D64" s="17" t="inlineStr">
        <is>
          <t>2026 (UCR/Caltech/RIT)</t>
        </is>
      </c>
      <c r="E64" s="17" t="inlineStr">
        <is>
          <t>A-Accounting/Water-capacity</t>
        </is>
      </c>
      <c r="F64" s="17" t="inlineStr">
        <is>
          <t>water capacity/peak</t>
        </is>
      </c>
      <c r="G64" s="17" t="inlineStr">
        <is>
          <t>T1</t>
        </is>
      </c>
      <c r="H64" s="17" t="inlineStr">
        <is>
          <t>Peak-withdrawal stress on PUBLIC water capacity (not avg annual); 697-1451 MGD by 2030; 'Water Capacity Neutral' reporting</t>
        </is>
      </c>
      <c r="I64" s="17" t="inlineStr">
        <is>
          <t>Y</t>
        </is>
      </c>
      <c r="J64" s="17" t="n">
        <v>5</v>
      </c>
      <c r="K64" s="17" t="inlineStr">
        <is>
          <t>New water framing (peak/public-utility capacity); no carbon-joint, no marginal, no EU/India, no policy-lever counterfactual</t>
        </is>
      </c>
      <c r="L64" s="17" t="inlineStr">
        <is>
          <t>Y</t>
        </is>
      </c>
      <c r="M64" s="17" t="inlineStr">
        <is>
          <t>VERIFIED-FULL. CAPACITY-stress, NOT scarcity-weighted (PeakDemand=beta*(Total/T), beta~4.5; new metric pWUE). Water-only, US, no inference; growth x efficiency scenario grid. 697-1451 MGD by 2030, $10-58B. OUR SCARCITY AXIS SURVIVES (capacity!=scarcity). MUST-CITE (most policy-visible DC water paper).</t>
        </is>
      </c>
    </row>
    <row r="65">
      <c r="A65" s="17" t="n">
        <v>8</v>
      </c>
      <c r="B65" s="17" t="inlineStr">
        <is>
          <t>AI Data Centers and the Water Use Feedback Loop</t>
        </is>
      </c>
      <c r="C65" s="17" t="inlineStr">
        <is>
          <t>arXiv 2606.21760</t>
        </is>
      </c>
      <c r="D65" s="17" t="inlineStr">
        <is>
          <t>2026 (Ren group)</t>
        </is>
      </c>
      <c r="E65" s="17" t="inlineStr">
        <is>
          <t>A-Accounting/Water</t>
        </is>
      </c>
      <c r="F65" s="17" t="inlineStr">
        <is>
          <t>water feedback</t>
        </is>
      </c>
      <c r="G65" s="17" t="inlineStr">
        <is>
          <t>T1</t>
        </is>
      </c>
      <c r="H65" s="17" t="inlineStr">
        <is>
          <t>Water &amp; AI Feedback Loop; Water Consumption Impact index; 10 US sites (0.2-134% of host utility capacity)</t>
        </is>
      </c>
      <c r="I65" s="17" t="inlineStr">
        <is>
          <t>Y</t>
        </is>
      </c>
      <c r="J65" s="17" t="n">
        <v>4</v>
      </c>
      <c r="K65" s="17" t="inlineStr">
        <is>
          <t>Water-only; no marginal carbon-joint; US; no policy counterfactual</t>
        </is>
      </c>
      <c r="L65" s="17" t="inlineStr">
        <is>
          <t>Y</t>
        </is>
      </c>
      <c r="M65" s="17" t="inlineStr">
        <is>
          <t>VERIFIED-FULL. REVIEW + WCI capacity-fraction metric (0.2-134% of host utility peak-day). Capacity-based not scarcity. EU synthesis (Ireland/NL); NO India. MUST-CITE (WCI metric + EU regulatory synthesis).</t>
        </is>
      </c>
    </row>
    <row r="66">
      <c r="A66" s="17" t="n">
        <v>8</v>
      </c>
      <c r="B66" s="17" t="inlineStr">
        <is>
          <t>Job-level Carbon and Water Footprint Estimation for HPC (runtime-&gt;lifecycle bias)</t>
        </is>
      </c>
      <c r="C66" s="17" t="inlineStr">
        <is>
          <t>arXiv 2607.19150</t>
        </is>
      </c>
      <c r="D66" s="17" t="inlineStr">
        <is>
          <t>2026</t>
        </is>
      </c>
      <c r="E66" s="17" t="inlineStr">
        <is>
          <t>A-Accounting/Carbon-Water</t>
        </is>
      </c>
      <c r="F66" s="17" t="inlineStr">
        <is>
          <t>joint carbon+water</t>
        </is>
      </c>
      <c r="G66" s="17" t="inlineStr">
        <is>
          <t>T1</t>
        </is>
      </c>
      <c r="H66" s="17" t="inlineStr">
        <is>
          <t>Job-level joint carbon+water; estimation-bias assessment runtime vs full lifecycle</t>
        </is>
      </c>
      <c r="I66" s="17" t="inlineStr">
        <is>
          <t>Y</t>
        </is>
      </c>
      <c r="J66" s="17" t="n">
        <v>4</v>
      </c>
      <c r="K66" s="17" t="inlineStr">
        <is>
          <t>Joint carbon+water but HPC-job level, not inference-attributed multi-region marginal+scarcity</t>
        </is>
      </c>
      <c r="L66" s="17" t="inlineStr">
        <is>
          <t>Y</t>
        </is>
      </c>
      <c r="M66" s="17" t="inlineStr">
        <is>
          <t>VERIFIED-FULL. HPC job-level joint carbon+water, single Dutch facility. AVG carbon, NOT scarcity-weighted. Finding: WATER dominated by EMBODIED, carbon by operational. Optional cite (embodied-water caveat). Low scoop.</t>
        </is>
      </c>
    </row>
    <row r="67">
      <c r="A67" s="17" t="n">
        <v>8</v>
      </c>
      <c r="B67" s="17" t="inlineStr">
        <is>
          <t>ThirstyFLOPS: Water Footprint Modeling toward Sustainable HPC</t>
        </is>
      </c>
      <c r="C67" s="17" t="inlineStr">
        <is>
          <t>arXiv 2510.00471</t>
        </is>
      </c>
      <c r="D67" s="17" t="inlineStr">
        <is>
          <t>SC 2025 (10.1145/3712285.3759804)</t>
        </is>
      </c>
      <c r="E67" s="17" t="inlineStr">
        <is>
          <t>A-Accounting/Water</t>
        </is>
      </c>
      <c r="F67" s="17" t="inlineStr">
        <is>
          <t>HPC water</t>
        </is>
      </c>
      <c r="G67" s="17" t="inlineStr">
        <is>
          <t>T1</t>
        </is>
      </c>
      <c r="H67" s="17" t="inlineStr">
        <is>
          <t>HPC water-footprint model</t>
        </is>
      </c>
      <c r="I67" s="17" t="inlineStr">
        <is>
          <t>Y</t>
        </is>
      </c>
      <c r="J67" s="17" t="n">
        <v>3</v>
      </c>
      <c r="K67" s="17" t="inlineStr">
        <is>
          <t>HPC water-only; no marginal carbon, no scarcity/multi-region/inference</t>
        </is>
      </c>
      <c r="L67" s="17" t="inlineStr">
        <is>
          <t>Y</t>
        </is>
      </c>
      <c r="M67" s="17" t="inlineStr">
        <is>
          <t>VERIFIED-FULL. STRONGEST joint carbon+SCARCITY-water precedent: AWARE-weighted (direct+indirect WSI split), US/Italy/Japan, 4 TOP500 systems. BUT carbon=avg (Electricity Maps, not marginal), HPC not inference, no India, no policy counterfactual. Polaris scarcity-reversal finding. MUST-CITE primary water-scarcity comparator.</t>
        </is>
      </c>
    </row>
    <row r="68">
      <c r="A68" s="17" t="n">
        <v>8</v>
      </c>
      <c r="B68" s="17" t="inlineStr">
        <is>
          <t>Water Footprint of Datacenter Applications: Mfg/Operational/Decommissioning phases</t>
        </is>
      </c>
      <c r="C68" s="17" t="inlineStr">
        <is>
          <t>ACM SoCC 2025 (10.1145/3772052.3772216)</t>
        </is>
      </c>
      <c r="D68" s="17" t="inlineStr">
        <is>
          <t>2025</t>
        </is>
      </c>
      <c r="E68" s="17" t="inlineStr">
        <is>
          <t>A-Accounting/Water-LCA</t>
        </is>
      </c>
      <c r="F68" s="17" t="inlineStr">
        <is>
          <t>lifecycle water</t>
        </is>
      </c>
      <c r="G68" s="17" t="inlineStr">
        <is>
          <t>T1</t>
        </is>
      </c>
      <c r="H68" s="17" t="inlineStr">
        <is>
          <t>Full-lifecycle water accounting (manufacturing+operational+decommissioning)</t>
        </is>
      </c>
      <c r="I68" s="17" t="inlineStr">
        <is>
          <t>Y</t>
        </is>
      </c>
      <c r="J68" s="17" t="n">
        <v>3</v>
      </c>
      <c r="K68" s="17" t="inlineStr">
        <is>
          <t>Lifecycle water phases; no marginal carbon-joint, no scarcity-weighting/multi-region/policy</t>
        </is>
      </c>
      <c r="L68" s="17" t="inlineStr">
        <is>
          <t>Y</t>
        </is>
      </c>
      <c r="M68" s="17" t="inlineStr">
        <is>
          <t>VERIFIED-FULL. Does BOTH: W1-W6 scarcity-weighted (AWARE) accounting taxonomy (CITE) AND Carbon/Water/Joint-Opt scheduler (ROUTER we exclude). Avg carbon, state-level, no EU/India, compute-cycle (not inference) attribution. MUST-CITE accounting; disclaim router.</t>
        </is>
      </c>
    </row>
    <row r="69">
      <c r="A69" s="17" t="n">
        <v>26</v>
      </c>
      <c r="B69" s="17" t="inlineStr">
        <is>
          <t>From Accounting to Coordination: Virtual Water-Aware Electricity-Computation-Water Nexus (DC dispatch)</t>
        </is>
      </c>
      <c r="C69" s="17" t="inlineStr">
        <is>
          <t>arXiv 2605.25854</t>
        </is>
      </c>
      <c r="D69" s="17" t="inlineStr">
        <is>
          <t>2026</t>
        </is>
      </c>
      <c r="E69" s="17" t="inlineStr">
        <is>
          <t>C-Joint/Optim</t>
        </is>
      </c>
      <c r="F69" s="17" t="inlineStr">
        <is>
          <t>water-aware dispatch</t>
        </is>
      </c>
      <c r="G69" s="17" t="inlineStr">
        <is>
          <t>T1</t>
        </is>
      </c>
      <c r="H69" s="17" t="inlineStr">
        <is>
          <t>Differentiable dispatch optimizer coordinating electricity/water; 3-5% freshwater withdrawal reduction</t>
        </is>
      </c>
      <c r="I69" s="17" t="inlineStr">
        <is>
          <t>Y</t>
        </is>
      </c>
      <c r="J69" s="17" t="n">
        <v>3</v>
      </c>
      <c r="K69" s="17" t="inlineStr">
        <is>
          <t>Real-time dispatch OPTIMIZER (our kill-list); cite-and-exclude</t>
        </is>
      </c>
      <c r="L69" s="17" t="inlineStr">
        <is>
          <t>Y</t>
        </is>
      </c>
      <c r="M69" s="17" t="inlineStr">
        <is>
          <t>VERIFIED-FULL (venue partial). Dispatch OPTIMIZER on SYNTHETIC IEEE 30/118-bus; virtual-water tracing + fixed-point iteration; water-only, no carbon, no real regions, no inference. Low scoop (router, opposite category). Cite briefly under 'coordination we don't pursue'.</t>
        </is>
      </c>
    </row>
    <row r="70">
      <c r="A70" s="17" t="n">
        <v>5</v>
      </c>
      <c r="B70" s="17" t="inlineStr">
        <is>
          <t>CEEW - How Is Data Centre Infrastructure in India Shaping Power and Water Use?</t>
        </is>
      </c>
      <c r="C70" s="17" t="inlineStr">
        <is>
          <t>CEEW report (ceew.in)</t>
        </is>
      </c>
      <c r="D70" s="17" t="inlineStr">
        <is>
          <t>2025/26 (India)</t>
        </is>
      </c>
      <c r="E70" s="17" t="inlineStr">
        <is>
          <t>E-Regional/India</t>
        </is>
      </c>
      <c r="F70" s="17" t="inlineStr">
        <is>
          <t>India DC power+water</t>
        </is>
      </c>
      <c r="G70" s="17" t="inlineStr">
        <is>
          <t>T2</t>
        </is>
      </c>
      <c r="H70" s="17" t="inlineStr">
        <is>
          <t>India-specific DC power+water think-tank analysis</t>
        </is>
      </c>
      <c r="I70" s="17" t="inlineStr">
        <is>
          <t>Y</t>
        </is>
      </c>
      <c r="J70" s="17" t="n">
        <v>5</v>
      </c>
      <c r="K70" s="17" t="inlineStr">
        <is>
          <t>India primary source; grey lit; not marginal/scarcity accounting itself</t>
        </is>
      </c>
      <c r="L70" s="17" t="inlineStr">
        <is>
          <t>Y</t>
        </is>
      </c>
      <c r="M70" s="17" t="inlineStr">
        <is>
          <t>VERIFIED-FULL. India: DCs ~0.5% national electricity, ~150 bn L/yr, ~1.5 GW-&gt;4.5-6.5 GW by 2030; 100MW site ~2 ML/day; up to 80% RE feasible. MUST-CITE India baseline. NOTE: likely the SAME report as the CEEW Feb 2026 row (Tripathi et al.) - consolidate.</t>
        </is>
      </c>
    </row>
    <row r="71">
      <c r="A71" s="17" t="n">
        <v>5</v>
      </c>
      <c r="B71" s="17" t="inlineStr">
        <is>
          <t>CEEW - Scaling India's Data Centre Ecosystem (stakeholder perspectives)</t>
        </is>
      </c>
      <c r="C71" s="17" t="inlineStr">
        <is>
          <t>CEEW Feb 2026</t>
        </is>
      </c>
      <c r="D71" s="17" t="inlineStr">
        <is>
          <t>2026 (India)</t>
        </is>
      </c>
      <c r="E71" s="17" t="inlineStr">
        <is>
          <t>E-Regional/India</t>
        </is>
      </c>
      <c r="F71" s="17" t="inlineStr">
        <is>
          <t>India DC growth</t>
        </is>
      </c>
      <c r="G71" s="17" t="inlineStr">
        <is>
          <t>T2</t>
        </is>
      </c>
      <c r="H71" s="17" t="inlineStr">
        <is>
          <t>India DC growth: 520 MW(2020)-&gt;1.5 GW(2025)-&gt;6.5 GW(2030 proj); DCs ~0.5% national electricity</t>
        </is>
      </c>
      <c r="I71" s="17" t="inlineStr">
        <is>
          <t>Y</t>
        </is>
      </c>
      <c r="J71" s="17" t="n">
        <v>5</v>
      </c>
      <c r="K71" s="17" t="inlineStr">
        <is>
          <t>India growth/context; grey lit</t>
        </is>
      </c>
      <c r="L71" s="17" t="inlineStr">
        <is>
          <t>Y</t>
        </is>
      </c>
      <c r="M71" s="17" t="inlineStr">
        <is>
          <t>VERIFIED-FULL (Tripathi et al., CEEW+SYSTEMIQ, 17 Feb 2026). Capacity ~tripled since 2020 -&gt; 6.5 GW by 2030; power 60-70% opex; 43% of India DCs in HIGH water-stress areas. MUST-CITE India water-stress. Likely same as the ceew.in row.</t>
        </is>
      </c>
    </row>
    <row r="72">
      <c r="A72" s="17" t="n">
        <v>6</v>
      </c>
      <c r="B72" s="17" t="inlineStr">
        <is>
          <t>Whole-systems energy &amp; environmental analysis of datacenters in Denmark, Germany, Norway</t>
        </is>
      </c>
      <c r="C72" s="17" t="inlineStr">
        <is>
          <t>Energy Res.&amp; Social Sci. (S2214629626003105)</t>
        </is>
      </c>
      <c r="D72" s="17" t="inlineStr">
        <is>
          <t>2026 (Europe)</t>
        </is>
      </c>
      <c r="E72" s="17" t="inlineStr">
        <is>
          <t>E-Regional/EU</t>
        </is>
      </c>
      <c r="F72" s="17" t="inlineStr">
        <is>
          <t>Europe DC water+carbon</t>
        </is>
      </c>
      <c r="G72" s="17" t="inlineStr">
        <is>
          <t>T3</t>
        </is>
      </c>
      <c r="H72" s="17" t="inlineStr">
        <is>
          <t>Whole-systems energy+environment analysis, 3 Nordic/EU countries (likely Sovacool group)</t>
        </is>
      </c>
      <c r="I72" s="17" t="inlineStr">
        <is>
          <t>Y</t>
        </is>
      </c>
      <c r="J72" s="17" t="n">
        <v>4</v>
      </c>
      <c r="K72" s="17" t="inlineStr">
        <is>
          <t>Europe axis; not marginal+scarcity joint multi-region incl India</t>
        </is>
      </c>
      <c r="L72" s="17" t="inlineStr">
        <is>
          <t>N</t>
        </is>
      </c>
      <c r="M72" s="17" t="inlineStr">
        <is>
          <t>DROPPED per user 2026-09-14 (not accessible). ERSS Denmark/Germany/Norway whole-systems. Was CONTEXT/Europe. Excluded from review.</t>
        </is>
      </c>
    </row>
    <row r="73">
      <c r="A73" s="17" t="n">
        <v>7</v>
      </c>
      <c r="B73" s="17" t="inlineStr">
        <is>
          <t>The Infrastructure Equation: Water, Energy &amp; Community Policy for Georgia's DC Boom</t>
        </is>
      </c>
      <c r="C73" s="17" t="inlineStr">
        <is>
          <t>arXiv 2602.10526</t>
        </is>
      </c>
      <c r="D73" s="17" t="inlineStr">
        <is>
          <t>2026 (GTech?)</t>
        </is>
      </c>
      <c r="E73" s="17" t="inlineStr">
        <is>
          <t>E-Siting/Equity</t>
        </is>
      </c>
      <c r="F73" s="17" t="inlineStr">
        <is>
          <t>sub-national equity</t>
        </is>
      </c>
      <c r="G73" s="17" t="inlineStr">
        <is>
          <t>T2/T3</t>
        </is>
      </c>
      <c r="H73" s="17" t="inlineStr">
        <is>
          <t>State/community water-energy-policy analysis of Georgia DC boom</t>
        </is>
      </c>
      <c r="I73" s="17" t="inlineStr">
        <is>
          <t>Y</t>
        </is>
      </c>
      <c r="J73" s="17" t="n">
        <v>4</v>
      </c>
      <c r="K73" s="17" t="inlineStr">
        <is>
          <t>Sub-national + community/equity (our N1/N4); single-state, likely no marginal+scarcity joint</t>
        </is>
      </c>
      <c r="L73" s="17" t="inlineStr">
        <is>
          <t>Y</t>
        </is>
      </c>
      <c r="M73" s="17" t="inlineStr">
        <is>
          <t>VERIFIED-FULL (Rogers/Ota/Burola/Piquado, 11 Feb 2026, RAND-style). Georgia state policy: water/energy/land clustering, ratepayer equity, zoning gaps. MUST-CITE US equity/policy-lever case.</t>
        </is>
      </c>
    </row>
    <row r="74">
      <c r="A74" s="17" t="n">
        <v>7</v>
      </c>
      <c r="B74" s="17" t="inlineStr">
        <is>
          <t>Optimizing Place-Based Data Infrastructure Siting (energy/environment/communities)</t>
        </is>
      </c>
      <c r="C74" s="17" t="inlineStr">
        <is>
          <t>ACS ES&amp;T Water (10.1021/acsestwater.5c01503)</t>
        </is>
      </c>
      <c r="D74" s="17" t="inlineStr">
        <is>
          <t>2026</t>
        </is>
      </c>
      <c r="E74" s="17" t="inlineStr">
        <is>
          <t>E-Siting/Optim</t>
        </is>
      </c>
      <c r="F74" s="17" t="inlineStr">
        <is>
          <t>siting optimization</t>
        </is>
      </c>
      <c r="G74" s="17" t="inlineStr">
        <is>
          <t>T3</t>
        </is>
      </c>
      <c r="H74" s="17" t="inlineStr">
        <is>
          <t>Siting optimization balancing energy/environment/community</t>
        </is>
      </c>
      <c r="I74" s="17" t="inlineStr">
        <is>
          <t>Y</t>
        </is>
      </c>
      <c r="J74" s="17" t="n">
        <v>3</v>
      </c>
      <c r="K74" s="17" t="inlineStr">
        <is>
          <t>Siting optimizer; not inference-attributed marginal+scarcity accounting</t>
        </is>
      </c>
      <c r="L74" s="17" t="inlineStr">
        <is>
          <t>N</t>
        </is>
      </c>
      <c r="M74" s="17" t="inlineStr">
        <is>
          <t>DROPPED per user 2026-09-14 (not accessible). ACS ES&amp;T Water place-based siting. Was MUST-CITE candidate. Excluded from review.</t>
        </is>
      </c>
    </row>
    <row r="75">
      <c r="A75" s="17" t="n">
        <v>33</v>
      </c>
      <c r="B75" s="17" t="inlineStr">
        <is>
          <t>Governing AI DC Growth in Water-Stressed Regions: Siting, Transparency, Water Justice</t>
        </is>
      </c>
      <c r="C75" s="17" t="inlineStr">
        <is>
          <t>IGI Global chapter</t>
        </is>
      </c>
      <c r="D75" s="17" t="inlineStr">
        <is>
          <t>2026</t>
        </is>
      </c>
      <c r="E75" s="17" t="inlineStr">
        <is>
          <t>E-Policy/Water-Justice</t>
        </is>
      </c>
      <c r="F75" s="17" t="inlineStr">
        <is>
          <t>water justice</t>
        </is>
      </c>
      <c r="G75" s="17" t="inlineStr">
        <is>
          <t>T2</t>
        </is>
      </c>
      <c r="H75" s="17" t="inlineStr">
        <is>
          <t>Governance framework: hydrological screening, disclosure, water-justice safeguards</t>
        </is>
      </c>
      <c r="I75" s="17" t="inlineStr">
        <is>
          <t>N</t>
        </is>
      </c>
      <c r="J75" s="17" t="n">
        <v>3</v>
      </c>
      <c r="K75" s="17" t="inlineStr">
        <is>
          <t>Qualitative governance/equity; complements our policy layer</t>
        </is>
      </c>
      <c r="L75" s="17" t="inlineStr">
        <is>
          <t>N</t>
        </is>
      </c>
      <c r="M75" s="17" t="inlineStr">
        <is>
          <t>DROPPED per user 2026-09-14 (not accessible). IGI water-justice governance chapter. Was CONTEXT/equity. Excluded from review.</t>
        </is>
      </c>
    </row>
    <row r="76">
      <c r="A76" s="17" t="n">
        <v>9</v>
      </c>
      <c r="B76" s="17" t="inlineStr">
        <is>
          <t>Hankendi, Coskun, Sovacool - Why transparency matters for sustainable DCs &amp; carbon-neutral AI</t>
        </is>
      </c>
      <c r="C76" s="17" t="inlineStr">
        <is>
          <t>iScience (10.1016/j.isci.2025.113705)</t>
        </is>
      </c>
      <c r="D76" s="17" t="inlineStr">
        <is>
          <t>2025</t>
        </is>
      </c>
      <c r="E76" s="17" t="inlineStr">
        <is>
          <t>A-Accounting/Policy</t>
        </is>
      </c>
      <c r="F76" s="17" t="inlineStr">
        <is>
          <t>transparency</t>
        </is>
      </c>
      <c r="G76" s="17" t="inlineStr">
        <is>
          <t>T2</t>
        </is>
      </c>
      <c r="H76" s="17" t="inlineStr">
        <is>
          <t>Perspective: operational-data opacity blocks mitigation; 3-phase 10-yr transparency roadmap</t>
        </is>
      </c>
      <c r="I76" s="17" t="inlineStr">
        <is>
          <t>Y</t>
        </is>
      </c>
      <c r="J76" s="17" t="n">
        <v>4</v>
      </c>
      <c r="K76" s="17" t="inlineStr">
        <is>
          <t>Transparency framing (our reproducible-tool answers this call); not a method competitor</t>
        </is>
      </c>
      <c r="L76" s="17" t="inlineStr">
        <is>
          <t>Y</t>
        </is>
      </c>
      <c r="M76" s="17" t="inlineStr">
        <is>
          <t>VERIFIED-FULL (Hankendi/Coskun/Sovacool, iScience 21 Nov 2025). Perspective: opacity blocks optimization; DCs-&gt;9% global electricity by 2030; 10-yr transparency roadmap. MUST-CITE motivation (low scoop).</t>
        </is>
      </c>
    </row>
    <row r="77">
      <c r="A77" s="17" t="n">
        <v>9</v>
      </c>
      <c r="B77" s="17" t="inlineStr">
        <is>
          <t>Privette, Barros, Cai - Data centers water footprint: the need for more transparency</t>
        </is>
      </c>
      <c r="C77" s="17" t="inlineStr">
        <is>
          <t>AGU Advances (10.1029/2025AV002140)</t>
        </is>
      </c>
      <c r="D77" s="17" t="inlineStr">
        <is>
          <t>2026</t>
        </is>
      </c>
      <c r="E77" s="17" t="inlineStr">
        <is>
          <t>A-Accounting/Water/Policy</t>
        </is>
      </c>
      <c r="F77" s="17" t="inlineStr">
        <is>
          <t>water transparency</t>
        </is>
      </c>
      <c r="G77" s="17" t="inlineStr">
        <is>
          <t>T2</t>
        </is>
      </c>
      <c r="H77" s="17" t="inlineStr">
        <is>
          <t>Argues for standardized transparent DC water reporting</t>
        </is>
      </c>
      <c r="I77" s="17" t="inlineStr">
        <is>
          <t>Y</t>
        </is>
      </c>
      <c r="J77" s="17" t="n">
        <v>4</v>
      </c>
      <c r="K77" s="17" t="inlineStr">
        <is>
          <t>Water transparency framing; not marginal+scarcity+inference accounting</t>
        </is>
      </c>
      <c r="L77" s="17" t="inlineStr">
        <is>
          <t>Y</t>
        </is>
      </c>
      <c r="M77" s="17" t="inlineStr">
        <is>
          <t>VERIFIED-FULL (Privette/Barros/Cai, AGU Advances 2026, via Eos highlight). Multi-faceted DC water footprint; call for standardized disclosure. MUST-CITE water motivation.</t>
        </is>
      </c>
    </row>
    <row r="78">
      <c r="A78" s="17" t="n">
        <v>2</v>
      </c>
      <c r="B78" s="17" t="inlineStr">
        <is>
          <t>Advances &amp; challenges in energy &amp; climate alignment of AI infrastructure expansion</t>
        </is>
      </c>
      <c r="C78" s="17" t="inlineStr">
        <is>
          <t>Adv. Applied Energy (S266679242500037X)</t>
        </is>
      </c>
      <c r="D78" s="17" t="inlineStr">
        <is>
          <t>2025/26</t>
        </is>
      </c>
      <c r="E78" s="17" t="inlineStr">
        <is>
          <t>A-Accounting/Survey</t>
        </is>
      </c>
      <c r="F78" s="17" t="inlineStr">
        <is>
          <t>AI infra energy-climate</t>
        </is>
      </c>
      <c r="G78" s="17" t="inlineStr">
        <is>
          <t>T3</t>
        </is>
      </c>
      <c r="H78" s="17" t="inlineStr">
        <is>
          <t>Review of energy-climate alignment of AI infrastructure</t>
        </is>
      </c>
      <c r="I78" s="17" t="inlineStr">
        <is>
          <t>Y</t>
        </is>
      </c>
      <c r="J78" s="17" t="n">
        <v>3</v>
      </c>
      <c r="K78" s="17" t="inlineStr">
        <is>
          <t>Framing review; verify scope</t>
        </is>
      </c>
      <c r="L78" s="17" t="inlineStr">
        <is>
          <t>Y</t>
        </is>
      </c>
      <c r="M78" s="17" t="inlineStr">
        <is>
          <t>VERIFIED-FULL (uploaded PDF, read 2026-09-14). Lal &amp; You (Cornell), Adv. Applied Energy 20(2025)100243, open-access. REVIEW mapping AI-infra energy+climate into thematic categories; US/EU/China policy comparison (Table 2); county-level US renewable-mismatch (Fig 4: VA/TX/CA/IL/OH); Bass-diffusion deployment scenarios (Eq 1); 3 future perspectives (US spatially-resolved siting; global hybrid bottom-up+top-down; probabilistic+nuclear). ENERGY+CARBON centric, WATER-light; NOT marginal; US/EU/China (NO India); not inference-attributed accounting. Explicitly names OUR gap ('lack state/county-level frameworks'; 'lack scenario frameworks quantifying AI electricity share across countries incl DC distribution/renewables/hardware'). LOW scoop. MUST-CITE field gap-map + framing (note Fengqi You prominence).</t>
        </is>
      </c>
    </row>
    <row r="79">
      <c r="A79" s="17" t="n">
        <v>13</v>
      </c>
      <c r="B79" s="17" t="inlineStr">
        <is>
          <t>Sustainable AI infrastructure: scenario-based forecast of water footprint under uncertainty</t>
        </is>
      </c>
      <c r="C79" s="17" t="inlineStr">
        <is>
          <t>J. Cleaner Prod. (S0959652625018785)</t>
        </is>
      </c>
      <c r="D79" s="17" t="inlineStr">
        <is>
          <t>2025/26</t>
        </is>
      </c>
      <c r="E79" s="17" t="inlineStr">
        <is>
          <t>A-Accounting/Water-Scenario</t>
        </is>
      </c>
      <c r="F79" s="17" t="inlineStr">
        <is>
          <t>water forecast uncertainty</t>
        </is>
      </c>
      <c r="G79" s="17" t="inlineStr">
        <is>
          <t>T1/T3</t>
        </is>
      </c>
      <c r="H79" s="17" t="inlineStr">
        <is>
          <t>Scenario-based, uncertainty-quantified water-footprint forecast</t>
        </is>
      </c>
      <c r="I79" s="17" t="inlineStr">
        <is>
          <t>Y</t>
        </is>
      </c>
      <c r="J79" s="17" t="n">
        <v>4</v>
      </c>
      <c r="K79" s="17" t="inlineStr">
        <is>
          <t>Close to our S11 water-scenario stance; verify marginal/scarcity/multi-region</t>
        </is>
      </c>
      <c r="L79" s="17" t="inlineStr">
        <is>
          <t>Y</t>
        </is>
      </c>
      <c r="M79" s="17" t="inlineStr">
        <is>
          <t>VERIFIED-FULL via EarthArXiv preprint (10.31223/X55M86, Herrera/Xie/Menapace/Zanfei/Brentan, 24 Apr 2025). Bayesian scenario forecast of global AI water to 2030/2050 w/ MITIGATION counterfactuals (cooling/siting); water could rise &gt;7x by mid-century. SCOOP-RISK (scarcity-water + policy-lever counterfactual adjacent). MUST-CITE. JCP version not independently read.</t>
        </is>
      </c>
    </row>
    <row r="80">
      <c r="A80" s="17" t="n">
        <v>33</v>
      </c>
      <c r="B80" s="17" t="inlineStr">
        <is>
          <t>Ebert, Alder, Herbrich, Hacker - AI, Climate, and Regulation: From Data Centers to the AI Act</t>
        </is>
      </c>
      <c r="C80" s="17" t="inlineStr">
        <is>
          <t>Technology in Society (S2212473X26000672; arXiv 2410.06681)</t>
        </is>
      </c>
      <c r="D80" s="17" t="inlineStr">
        <is>
          <t>2026</t>
        </is>
      </c>
      <c r="E80" s="17" t="inlineStr">
        <is>
          <t>E-Policy/Regulation</t>
        </is>
      </c>
      <c r="F80" s="17" t="inlineStr">
        <is>
          <t>EU AI Act</t>
        </is>
      </c>
      <c r="G80" s="17" t="inlineStr">
        <is>
          <t>T2</t>
        </is>
      </c>
      <c r="H80" s="17" t="inlineStr">
        <is>
          <t>EU AI Act regulatory implications for DC climate impact</t>
        </is>
      </c>
      <c r="I80" s="17" t="inlineStr">
        <is>
          <t>Y</t>
        </is>
      </c>
      <c r="J80" s="17" t="n">
        <v>3</v>
      </c>
      <c r="K80" s="17" t="inlineStr">
        <is>
          <t>EU regulatory angle not otherwise in roster</t>
        </is>
      </c>
      <c r="L80" s="17" t="inlineStr">
        <is>
          <t>Y</t>
        </is>
      </c>
      <c r="M80" s="17" t="inlineStr">
        <is>
          <t>VERIFIED-FULL via arXiv 2410.06681 (Ebert/Alder/Herbrich/Hacker). EU AI Act climate 'regulatory blind spot' + 12 policy recommendations; engages EED + Delegated Reg 2024/1364. MUST-CITE EU policy leg.</t>
        </is>
      </c>
    </row>
    <row r="81">
      <c r="A81" s="17" t="n">
        <v>7</v>
      </c>
      <c r="B81" s="17" t="inlineStr">
        <is>
          <t>Beyond the AI Energy Hype? DC establishment growth, electricity &amp; emissions across US states</t>
        </is>
      </c>
      <c r="C81" s="17" t="inlineStr">
        <is>
          <t>Frontiers Env.Sci. (10.3389/fenvs.2026.1939591)</t>
        </is>
      </c>
      <c r="D81" s="17" t="inlineStr">
        <is>
          <t>2026</t>
        </is>
      </c>
      <c r="E81" s="17" t="inlineStr">
        <is>
          <t>A-Accounting/Null</t>
        </is>
      </c>
      <c r="F81" s="17" t="inlineStr">
        <is>
          <t>state-panel null</t>
        </is>
      </c>
      <c r="G81" s="17" t="inlineStr">
        <is>
          <t>T3</t>
        </is>
      </c>
      <c r="H81" s="17" t="inlineStr">
        <is>
          <t>State-panel 2010-2023: NO significant state-level DC-growth&lt;-&gt;electricity/emissions correlation</t>
        </is>
      </c>
      <c r="I81" s="17" t="inlineStr">
        <is>
          <t>Y</t>
        </is>
      </c>
      <c r="J81" s="17" t="n">
        <v>3</v>
      </c>
      <c r="K81" s="17" t="inlineStr">
        <is>
          <t>NULL/counter result; validates sub-national (vs aggregate) framing</t>
        </is>
      </c>
      <c r="L81" s="17" t="inlineStr">
        <is>
          <t>Y</t>
        </is>
      </c>
      <c r="M81" s="17" t="inlineStr">
        <is>
          <t>VERIFIED-FULL (Iqbal/Moharrak/Ahmed/Khurshaid, Frontiers Env Sci, 21 Aug 2026). US state-panel 2010-2023: NO within-state DC-growth&lt;-&gt;electricity/emissions association (NULL). Attributes to aggregate masking local effects. MUST-CITE counter-narrative - VALIDATES our facility/local approach.</t>
        </is>
      </c>
    </row>
    <row r="82">
      <c r="A82" s="17" t="n">
        <v>2</v>
      </c>
      <c r="B82" s="17" t="inlineStr">
        <is>
          <t>UNU/UNEP - Rising Emissions, Depleting Water and Vanishing Land (AI Env Transparency Initiative)</t>
        </is>
      </c>
      <c r="C82" s="17" t="inlineStr">
        <is>
          <t>UNU/UNEP report</t>
        </is>
      </c>
      <c r="D82" s="17" t="inlineStr">
        <is>
          <t>2026</t>
        </is>
      </c>
      <c r="E82" s="17" t="inlineStr">
        <is>
          <t>E-Policy/Institutional</t>
        </is>
      </c>
      <c r="F82" s="17" t="inlineStr">
        <is>
          <t>UN AI environment</t>
        </is>
      </c>
      <c r="G82" s="17" t="inlineStr">
        <is>
          <t>T3</t>
        </is>
      </c>
      <c r="H82" s="17" t="inlineStr">
        <is>
          <t>UN report; up to 9.3 trillion L water demand by 2030</t>
        </is>
      </c>
      <c r="I82" s="17" t="inlineStr">
        <is>
          <t>N</t>
        </is>
      </c>
      <c r="J82" s="17" t="n">
        <v>3</v>
      </c>
      <c r="K82" s="17" t="inlineStr">
        <is>
          <t>High-visibility institutional report; acknowledge</t>
        </is>
      </c>
      <c r="L82" s="17" t="inlineStr">
        <is>
          <t>Y</t>
        </is>
      </c>
      <c r="M82" s="17" t="inlineStr">
        <is>
          <t>VERIFIED-FULL (UNU-INWEH, 3 Jun 2026). 2030: 945 TWh, 399 Mt CO2, 9.3 trillion L water, 14,500 km2 land; INFERENCE=80-90% of AI energy (supports our inference premise). MUST-CITE global framing.</t>
        </is>
      </c>
    </row>
    <row r="83">
      <c r="A83" s="17" t="n">
        <v>9</v>
      </c>
      <c r="B83" s="17" t="inlineStr">
        <is>
          <t>The Environmental Impact of AI Servers and Sustainable Solutions [LEAD]</t>
        </is>
      </c>
      <c r="C83" s="17" t="inlineStr">
        <is>
          <t>arXiv 2601.06063</t>
        </is>
      </c>
      <c r="D83" s="17" t="inlineStr">
        <is>
          <t>2026</t>
        </is>
      </c>
      <c r="E83" s="17" t="inlineStr">
        <is>
          <t>A-Accounting/?</t>
        </is>
      </c>
      <c r="F83" s="17" t="inlineStr">
        <is>
          <t>AI server impact</t>
        </is>
      </c>
      <c r="G83" s="17" t="inlineStr">
        <is>
          <t>T1</t>
        </is>
      </c>
      <c r="H83" s="17" t="inlineStr">
        <is>
          <t>UNVERIFIED LEAD - existence only</t>
        </is>
      </c>
      <c r="I83" s="17" t="inlineStr">
        <is>
          <t>N</t>
        </is>
      </c>
      <c r="J83" s="17" t="n">
        <v>2</v>
      </c>
      <c r="K83" s="17" t="inlineStr">
        <is>
          <t>Unknown</t>
        </is>
      </c>
      <c r="L83" s="17" t="inlineStr">
        <is>
          <t>Y</t>
        </is>
      </c>
      <c r="M83" s="17" t="inlineStr">
        <is>
          <t>VERIFIED-FULL (Patel/Mahalingam/Patel, 24 Dec 2025). Global DC 415-&gt;945 TWh; US AI-server +200-300 bn gal water, +24-44 Mt CO2e by 2030; cooling+siting can ~halve. CONTEXT.</t>
        </is>
      </c>
    </row>
    <row r="84">
      <c r="A84" s="17" t="n">
        <v>7</v>
      </c>
      <c r="B84" s="17" t="inlineStr">
        <is>
          <t>Environmental and Economic Implications of AI Data Centers in the US [LEAD]</t>
        </is>
      </c>
      <c r="C84" s="17" t="inlineStr">
        <is>
          <t>arXiv 2608.09882</t>
        </is>
      </c>
      <c r="D84" s="17" t="inlineStr">
        <is>
          <t>2026</t>
        </is>
      </c>
      <c r="E84" s="17" t="inlineStr">
        <is>
          <t>E-Accounting/?</t>
        </is>
      </c>
      <c r="F84" s="17" t="inlineStr">
        <is>
          <t>AI DC US impact</t>
        </is>
      </c>
      <c r="G84" s="17" t="inlineStr">
        <is>
          <t>T3</t>
        </is>
      </c>
      <c r="H84" s="17" t="inlineStr">
        <is>
          <t>UNVERIFIED LEAD - existence only</t>
        </is>
      </c>
      <c r="I84" s="17" t="inlineStr">
        <is>
          <t>N</t>
        </is>
      </c>
      <c r="J84" s="17" t="n">
        <v>2</v>
      </c>
      <c r="K84" s="17" t="inlineStr">
        <is>
          <t>Unknown; likely context</t>
        </is>
      </c>
      <c r="L84" s="17" t="inlineStr">
        <is>
          <t>P</t>
        </is>
      </c>
      <c r="M84" s="17" t="inlineStr">
        <is>
          <t>READ abstract-level (full text 429-limited x2, 2026-09-14). econ.GN (Bolanos-Zuniga &amp; Lamadrid, Lehigh). ARGUES US DC emissions depend on marginal generation mixes but does NOT implement marginal-carbon accounting; national (sub-national not confirmed); WATER qualitative only; whole-facility (not inference); efficiency/operational measures, no detailed optimizer; no numbers in abstract. VERDICT: NOT a scoop - aligned framing that MOTIVATES our marginal thesis. Downgraded SCOOP-RISK -&gt; MUST-CITE (framing/motivation). Full method read still owed if used for positioning.</t>
        </is>
      </c>
    </row>
    <row r="85">
      <c r="A85" s="17" t="n">
        <v>9</v>
      </c>
      <c r="B85" s="17" t="inlineStr">
        <is>
          <t>Recasting AI Data Centers as Engines for Carbon Removal [LEAD]</t>
        </is>
      </c>
      <c r="C85" s="17" t="inlineStr">
        <is>
          <t>arXiv 2605.13114</t>
        </is>
      </c>
      <c r="D85" s="17" t="inlineStr">
        <is>
          <t>2026</t>
        </is>
      </c>
      <c r="E85" s="17" t="inlineStr">
        <is>
          <t>D-CarbonRemoval</t>
        </is>
      </c>
      <c r="F85" s="17" t="inlineStr">
        <is>
          <t>carbon removal</t>
        </is>
      </c>
      <c r="G85" s="17" t="inlineStr">
        <is>
          <t>T1</t>
        </is>
      </c>
      <c r="H85" s="17" t="inlineStr">
        <is>
          <t>UNVERIFIED LEAD - DC as carbon-removal co-location (not footprint accounting)</t>
        </is>
      </c>
      <c r="I85" s="17" t="inlineStr">
        <is>
          <t>N</t>
        </is>
      </c>
      <c r="J85" s="17" t="n">
        <v>2</v>
      </c>
      <c r="K85" s="17" t="inlineStr">
        <is>
          <t>Likely low overlap</t>
        </is>
      </c>
      <c r="L85" s="17" t="inlineStr">
        <is>
          <t>Y</t>
        </is>
      </c>
      <c r="M85" s="17" t="inlineStr">
        <is>
          <t>VERIFIED-FULL (Fang/Zhang/Shang/Ma, CityU HK, 13 May 2026). DC waste-heat -&gt; heat pumps -&gt; direct air capture; can flip DAC net-negative in carbon-intensive regions. CONTEXT (tech-lever, not accounting).</t>
        </is>
      </c>
    </row>
  </sheetData>
  <autoFilter ref="A1:M60"/>
  <dataValidations count="3">
    <dataValidation sqref="L2:L32" showDropDown="0" showInputMessage="0" showErrorMessage="0" allowBlank="1" type="list" errorStyle="stop" operator="between">
      <formula1>"Y,N"</formula1>
      <formula2>0</formula2>
    </dataValidation>
    <dataValidation sqref="J2:J32" showDropDown="0" showInputMessage="0" showErrorMessage="0" allowBlank="1" type="list" errorStyle="stop" operator="between">
      <formula1>"1,2,3,4,5"</formula1>
      <formula2>0</formula2>
    </dataValidation>
    <dataValidation sqref="G2:G32" showDropDown="0" showInputMessage="0" showErrorMessage="0" allowBlank="1" type="list" errorStyle="stop" operator="between">
      <formula1>"T1,T2,T3,T1/T2,T1/T3,T2/T3"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80" customWidth="1" style="17" min="2" max="2"/>
  </cols>
  <sheetData>
    <row r="1" ht="15" customHeight="1" s="18">
      <c r="A1" s="24" t="inlineStr">
        <is>
          <t>Column</t>
        </is>
      </c>
      <c r="B1" s="25" t="inlineStr">
        <is>
          <t>Meaning</t>
        </is>
      </c>
    </row>
    <row r="2" ht="15" customHeight="1" s="18">
      <c r="A2" s="24" t="inlineStr">
        <is>
          <t>read_order</t>
        </is>
      </c>
      <c r="B2" s="25" t="inlineStr">
        <is>
          <t>Recommended reading order for a newcomer (Ranking B). Not the same as relevance.</t>
        </is>
      </c>
    </row>
    <row r="3" ht="15" customHeight="1" s="18">
      <c r="A3" s="24" t="inlineStr">
        <is>
          <t>title</t>
        </is>
      </c>
      <c r="B3" s="25" t="inlineStr">
        <is>
          <t>Paper title (short).</t>
        </is>
      </c>
    </row>
    <row r="4" ht="15" customHeight="1" s="18">
      <c r="A4" s="24" t="inlineStr">
        <is>
          <t>id</t>
        </is>
      </c>
      <c r="B4" s="25" t="inlineStr">
        <is>
          <t>arXiv/DOI/venue id. UNVERIFIED = not yet confirmed on a primary source.</t>
        </is>
      </c>
    </row>
    <row r="5" ht="15" customHeight="1" s="18">
      <c r="A5" s="24" t="inlineStr">
        <is>
          <t>venue_year</t>
        </is>
      </c>
      <c r="B5" s="25" t="inlineStr">
        <is>
          <t>Publication venue + year (verify in Phase 3).</t>
        </is>
      </c>
    </row>
    <row r="6" ht="23.25" customHeight="1" s="18">
      <c r="A6" s="24" t="inlineStr">
        <is>
          <t>cluster_theme</t>
        </is>
      </c>
      <c r="B6" s="25" t="inlineStr">
        <is>
          <t>Field cluster: A Accounting/measurement · B Carbon-aware shifting+critiques · C Joint carbon-water optimization (crowded) · D Embodied carbon · E Macro/grid/policy/siting.</t>
        </is>
      </c>
    </row>
    <row r="7" ht="15" customHeight="1" s="18">
      <c r="A7" s="24" t="inlineStr">
        <is>
          <t>target_keyword_hit</t>
        </is>
      </c>
      <c r="B7" s="25" t="inlineStr">
        <is>
          <t>Which SI keyword/theme the paper speaks to.</t>
        </is>
      </c>
    </row>
    <row r="8" ht="15" customHeight="1" s="18">
      <c r="A8" s="24" t="inlineStr">
        <is>
          <t>SI_track</t>
        </is>
      </c>
      <c r="B8" s="25" t="inlineStr">
        <is>
          <t>Special-Issue track: T1 techno-process · T2 socio-institutional · T3 macro-systems.</t>
        </is>
      </c>
    </row>
    <row r="9" ht="15" customHeight="1" s="18">
      <c r="A9" s="24" t="inlineStr">
        <is>
          <t>method</t>
        </is>
      </c>
      <c r="B9" s="25" t="inlineStr">
        <is>
          <t>How the paper does what it does (1 line).</t>
        </is>
      </c>
    </row>
    <row r="10" ht="15" customHeight="1" s="18">
      <c r="A10" s="24" t="inlineStr">
        <is>
          <t>data_open</t>
        </is>
      </c>
      <c r="B10" s="25" t="inlineStr">
        <is>
          <t>Is its data/artifact openly usable? Y / partial / N / synthetic.</t>
        </is>
      </c>
    </row>
    <row r="11" ht="15" customHeight="1" s="18">
      <c r="A11" s="24" t="inlineStr">
        <is>
          <t>relevance</t>
        </is>
      </c>
      <c r="B11" s="25" t="inlineStr">
        <is>
          <t>1-5 to OUR chosen gap (A+B fused). 5 = core near-neighbor; 1 = background.</t>
        </is>
      </c>
    </row>
    <row r="12" ht="15" customHeight="1" s="18">
      <c r="A12" s="24" t="inlineStr">
        <is>
          <t>gap_it_leaves</t>
        </is>
      </c>
      <c r="B12" s="25" t="inlineStr">
        <is>
          <t>What it leaves open, mapped toward our gap. This is the raw material for positioning.</t>
        </is>
      </c>
    </row>
    <row r="13" ht="15" customHeight="1" s="18">
      <c r="A13" s="24" t="inlineStr">
        <is>
          <t>verified</t>
        </is>
      </c>
      <c r="B13" s="25" t="inlineStr">
        <is>
          <t>Y = confirmed on a primary source (citable). N = lead to verify in Phase 3.</t>
        </is>
      </c>
    </row>
    <row r="14" ht="15" customHeight="1" s="18">
      <c r="A14" s="24" t="inlineStr">
        <is>
          <t>notes</t>
        </is>
      </c>
      <c r="B14" s="25" t="inlineStr">
        <is>
          <t>Provenance / PRIMARY-READ marker / to-do.</t>
        </is>
      </c>
    </row>
    <row r="15"/>
    <row r="16"/>
    <row r="17" ht="15" customHeight="1" s="18">
      <c r="A17" s="24" t="inlineStr">
        <is>
          <t>LIVE COUNTS</t>
        </is>
      </c>
      <c r="B17" s="25" t="inlineStr">
        <is>
          <t>(recompute in Excel)</t>
        </is>
      </c>
    </row>
    <row r="18" ht="15" customHeight="1" s="18">
      <c r="A18" s="26" t="inlineStr">
        <is>
          <t>Total papers</t>
        </is>
      </c>
      <c r="B18" s="26">
        <f>COUNTA(Papers!B2:B200)</f>
        <v/>
      </c>
    </row>
    <row r="19" ht="15" customHeight="1" s="18">
      <c r="A19" s="26" t="inlineStr">
        <is>
          <t>Verified (Y)</t>
        </is>
      </c>
      <c r="B19" s="26">
        <f>COUNTIF(Papers!L2:L200,"Y")</f>
        <v/>
      </c>
    </row>
    <row r="20" ht="15" customHeight="1" s="18">
      <c r="A20" s="26" t="inlineStr">
        <is>
          <t>Core near-neighbors (rel=5)</t>
        </is>
      </c>
      <c r="B20" s="26">
        <f>COUNTIF(Papers!J2:J200,5)</f>
        <v/>
      </c>
    </row>
    <row r="21" ht="15" customHeight="1" s="18">
      <c r="A21" s="26" t="inlineStr">
        <is>
          <t>Primary-read</t>
        </is>
      </c>
      <c r="B21" s="26">
        <f>COUNTIF(Papers!M2:M200,"*PRIMARY-READ*")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16" customWidth="1" style="17" min="2" max="2"/>
    <col width="64" customWidth="1" style="17" min="3" max="3"/>
    <col width="50" customWidth="1" style="17" min="4" max="4"/>
  </cols>
  <sheetData>
    <row r="1" ht="15" customHeight="1" s="18">
      <c r="A1" s="27" t="inlineStr">
        <is>
          <t>date</t>
        </is>
      </c>
      <c r="B1" s="27" t="inlineStr">
        <is>
          <t>database</t>
        </is>
      </c>
      <c r="C1" s="27" t="inlineStr">
        <is>
          <t>query</t>
        </is>
      </c>
      <c r="D1" s="27" t="inlineStr">
        <is>
          <t>notes / yield</t>
        </is>
      </c>
    </row>
    <row r="2" ht="15" customHeight="1" s="18">
      <c r="A2" s="20" t="inlineStr">
        <is>
          <t>2026-09-13</t>
        </is>
      </c>
      <c r="B2" s="20" t="inlineStr">
        <is>
          <t>WebSearch</t>
        </is>
      </c>
      <c r="C2" s="20" t="inlineStr">
        <is>
          <t>data center AI electricity demand projections 2026 IEA LBNL</t>
        </is>
      </c>
      <c r="D2" s="20" t="inlineStr">
        <is>
          <t>macro anchors; IEA doubling-by-2026; LBNL 2024</t>
        </is>
      </c>
    </row>
    <row r="3" ht="23.25" customHeight="1" s="18">
      <c r="A3" s="20" t="inlineStr">
        <is>
          <t>2026-09-13</t>
        </is>
      </c>
      <c r="B3" s="20" t="inlineStr">
        <is>
          <t>WebSearch</t>
        </is>
      </c>
      <c r="C3" s="20" t="inlineStr">
        <is>
          <t>carbon-aware computing spatiotemporal workload scheduling geo-distributed survey 2025</t>
        </is>
      </c>
      <c r="D3" s="20" t="inlineStr">
        <is>
          <t>surveys 2501.15504, 2508.05949; mean-field-game allocation</t>
        </is>
      </c>
    </row>
    <row r="4" ht="15" customHeight="1" s="18">
      <c r="A4" s="20" t="inlineStr">
        <is>
          <t>2026-09-13</t>
        </is>
      </c>
      <c r="B4" s="20" t="inlineStr">
        <is>
          <t>WebSearch</t>
        </is>
      </c>
      <c r="C4" s="20" t="inlineStr">
        <is>
          <t>water footprint AI inference 'making AI less thirsty' WUE</t>
        </is>
      </c>
      <c r="D4" s="20" t="inlineStr">
        <is>
          <t>Li et al 2304.03271 (water seminal)</t>
        </is>
      </c>
    </row>
    <row r="5" ht="23.25" customHeight="1" s="18">
      <c r="A5" s="20" t="inlineStr">
        <is>
          <t>2026-09-13</t>
        </is>
      </c>
      <c r="B5" s="20" t="inlineStr">
        <is>
          <t>WebSearch</t>
        </is>
      </c>
      <c r="C5" s="20" t="inlineStr">
        <is>
          <t>joint carbon and water aware scheduling data center 2024 2025</t>
        </is>
      </c>
      <c r="D5" s="20" t="inlineStr">
        <is>
          <t>WaterWise 2501.17944; GLSVLSI'25 carbon+water LLM sched</t>
        </is>
      </c>
    </row>
    <row r="6" ht="15" customHeight="1" s="18">
      <c r="A6" s="20" t="inlineStr">
        <is>
          <t>2026-09-13</t>
        </is>
      </c>
      <c r="B6" s="20" t="inlineStr">
        <is>
          <t>WebSearch</t>
        </is>
      </c>
      <c r="C6" s="20" t="inlineStr">
        <is>
          <t>embodied carbon 'Chasing Carbon' ACT Gupta</t>
        </is>
      </c>
      <c r="D6" s="20" t="inlineStr">
        <is>
          <t>Gupta HPCA'21; CarbonClarity 2507.01145; HotCarbon</t>
        </is>
      </c>
    </row>
    <row r="7" ht="15" customHeight="1" s="18">
      <c r="A7" s="20" t="inlineStr">
        <is>
          <t>2026-09-13</t>
        </is>
      </c>
      <c r="B7" s="20" t="inlineStr">
        <is>
          <t>WebSearch</t>
        </is>
      </c>
      <c r="C7" s="20" t="inlineStr">
        <is>
          <t>environmentally equitable AI spatial inequity water carbon Li 2024</t>
        </is>
      </c>
      <c r="D7" s="20" t="inlineStr">
        <is>
          <t>eGLB 2307.05494 (equity anchor)</t>
        </is>
      </c>
    </row>
    <row r="8" ht="23.25" customHeight="1" s="18">
      <c r="A8" s="20" t="inlineStr">
        <is>
          <t>2026-09-13</t>
        </is>
      </c>
      <c r="B8" s="20" t="inlineStr">
        <is>
          <t>WebSearch</t>
        </is>
      </c>
      <c r="C8" s="20" t="inlineStr">
        <is>
          <t>Google carbon-intelligent computing; Carbon Explorer Acun ASPLOS</t>
        </is>
      </c>
      <c r="D8" s="20" t="inlineStr">
        <is>
          <t>Radovanovic 2106.11750; Carbon Explorer; CarbonScaler; EuroSys'24 limitations</t>
        </is>
      </c>
    </row>
    <row r="9" ht="15" customHeight="1" s="18">
      <c r="A9" s="20" t="inlineStr">
        <is>
          <t>2026-09-13</t>
        </is>
      </c>
      <c r="B9" s="20" t="inlineStr">
        <is>
          <t>WebSearch</t>
        </is>
      </c>
      <c r="C9" s="20" t="inlineStr">
        <is>
          <t>marginal emissions consequential accounting DC load shifting critique</t>
        </is>
      </c>
      <c r="D9" s="20" t="inlineStr">
        <is>
          <t>LMCE 2010.03379; bilevel externalities 2510.20805</t>
        </is>
      </c>
    </row>
    <row r="10" ht="15" customHeight="1" s="18">
      <c r="A10" s="20" t="inlineStr">
        <is>
          <t>2026-09-13</t>
        </is>
      </c>
      <c r="B10" s="20" t="inlineStr">
        <is>
          <t>WebSearch</t>
        </is>
      </c>
      <c r="C10" s="20" t="inlineStr">
        <is>
          <t>generative AI inference energy per query Luccioni Power Hungry Processing</t>
        </is>
      </c>
      <c r="D10" s="20" t="inlineStr">
        <is>
          <t>Luccioni FAccT'24 2311.16863</t>
        </is>
      </c>
    </row>
    <row r="11" ht="15" customHeight="1" s="18">
      <c r="A11" s="20" t="inlineStr">
        <is>
          <t>2026-09-13</t>
        </is>
      </c>
      <c r="B11" s="20" t="inlineStr">
        <is>
          <t>WebSearch</t>
        </is>
      </c>
      <c r="C11" s="20" t="inlineStr">
        <is>
          <t>data centers demand response grid flexibility interconnection policy 2025 2026</t>
        </is>
      </c>
      <c r="D11" s="20" t="inlineStr">
        <is>
          <t>To Defer or To Shift 2604.05376; grid-flexibility policy</t>
        </is>
      </c>
    </row>
    <row r="12" ht="15" customHeight="1" s="18">
      <c r="A12" s="20" t="inlineStr">
        <is>
          <t>2026-09-13</t>
        </is>
      </c>
      <c r="B12" s="20" t="inlineStr">
        <is>
          <t>WebSearch</t>
        </is>
      </c>
      <c r="C12" s="20" t="inlineStr">
        <is>
          <t>Masanet recalibrating global data center energy Science 2020</t>
        </is>
      </c>
      <c r="D12" s="20" t="inlineStr">
        <is>
          <t>Masanet Science 2020</t>
        </is>
      </c>
    </row>
    <row r="13" ht="23.25" customHeight="1" s="18">
      <c r="A13" s="20" t="inlineStr">
        <is>
          <t>2026-09-13</t>
        </is>
      </c>
      <c r="B13" s="20" t="inlineStr">
        <is>
          <t>WebSearch</t>
        </is>
      </c>
      <c r="C13" s="20" t="inlineStr">
        <is>
          <t>reviewing socio-technical AI data centers digitalization energy environment 2026</t>
        </is>
      </c>
      <c r="D13" s="20" t="inlineStr">
        <is>
          <t>RSER 2026 survey S1364032126001607 (venue-level map)</t>
        </is>
      </c>
    </row>
    <row r="14" ht="23.25" customHeight="1" s="18">
      <c r="A14" s="20" t="inlineStr">
        <is>
          <t>2026-09-13</t>
        </is>
      </c>
      <c r="B14" s="20" t="inlineStr">
        <is>
          <t>WebSearch</t>
        </is>
      </c>
      <c r="C14" s="20" t="inlineStr">
        <is>
          <t>carbon-aware LLM inference serving routing GPU 2025 2026</t>
        </is>
      </c>
      <c r="D14" s="20" t="inlineStr">
        <is>
          <t>Cleanest-Grid 2608.06188; GAR 2605.11603; DynamoLLM; EcoServe; GreenLLM</t>
        </is>
      </c>
    </row>
    <row r="15" ht="23.25" customHeight="1" s="18">
      <c r="A15" s="20" t="inlineStr">
        <is>
          <t>2026-09-13</t>
        </is>
      </c>
      <c r="B15" s="20" t="inlineStr">
        <is>
          <t>WebSearch</t>
        </is>
      </c>
      <c r="C15" s="20" t="inlineStr">
        <is>
          <t>multi-agent RL carbon water geo-distributed scheduling 2025</t>
        </is>
      </c>
      <c r="D15" s="20" t="inlineStr">
        <is>
          <t>MARLIN 2605.13496; hierarchical MARL 2607.03324; AIGC MARL 2304.07948</t>
        </is>
      </c>
    </row>
    <row r="16" ht="15" customHeight="1" s="18">
      <c r="A16" s="20" t="inlineStr">
        <is>
          <t>2026-09-13</t>
        </is>
      </c>
      <c r="B16" s="20" t="inlineStr">
        <is>
          <t>WebSearch</t>
        </is>
      </c>
      <c r="C16" s="20" t="inlineStr">
        <is>
          <t>data center WUE onsite offsite water consumption dataset AI</t>
        </is>
      </c>
      <c r="D16" s="20" t="inlineStr">
        <is>
          <t>African DC water dataset 2412.03716; Hidden Thirst WCI</t>
        </is>
      </c>
    </row>
    <row r="17" ht="23.25" customHeight="1" s="18">
      <c r="A17" s="20" t="inlineStr">
        <is>
          <t>2026-09-13</t>
        </is>
      </c>
      <c r="B17" s="20" t="inlineStr">
        <is>
          <t>WebSearch</t>
        </is>
      </c>
      <c r="C17" s="20" t="inlineStr">
        <is>
          <t>'Energy and Climate Change' journal data center AI 2025 2026</t>
        </is>
      </c>
      <c r="D17" s="20" t="inlineStr">
        <is>
          <t>target journal; AI-in-ECC-modeling review S2666792425000058</t>
        </is>
      </c>
    </row>
    <row r="18" ht="15" customHeight="1" s="18">
      <c r="A18" s="20" t="inlineStr">
        <is>
          <t>2026-09-13</t>
        </is>
      </c>
      <c r="B18" s="20" t="inlineStr">
        <is>
          <t>WebSearch</t>
        </is>
      </c>
      <c r="C18" s="20" t="inlineStr">
        <is>
          <t>AI energy water estimates uncertainty transparency standard 2026</t>
        </is>
      </c>
      <c r="D18" s="20" t="inlineStr">
        <is>
          <t>FAS standardization; Hidden Thirst (Green 2026)</t>
        </is>
      </c>
    </row>
    <row r="19" ht="23.25" customHeight="1" s="18">
      <c r="A19" s="20" t="inlineStr">
        <is>
          <t>2026-09-13</t>
        </is>
      </c>
      <c r="B19" s="20" t="inlineStr">
        <is>
          <t>WebSearch</t>
        </is>
      </c>
      <c r="C19" s="20" t="inlineStr">
        <is>
          <t>AI data center siting water stress carbon spatial optimization 2025 2026</t>
        </is>
      </c>
      <c r="D19" s="20" t="inlineStr">
        <is>
          <t>Concentrated siting 2604.06198; water-justice governance 2026; water-feedback-loop 2606.21760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34" customWidth="1" style="17" min="2" max="2"/>
    <col width="14" customWidth="1" style="17" min="3" max="4"/>
    <col width="54" customWidth="1" style="17" min="5" max="5"/>
    <col width="70" customWidth="1" style="17" min="6" max="6"/>
  </cols>
  <sheetData>
    <row r="1" ht="15" customHeight="1" s="18">
      <c r="A1" s="27" t="inlineStr">
        <is>
          <t>gap_id</t>
        </is>
      </c>
      <c r="B1" s="27" t="inlineStr">
        <is>
          <t>gap_name</t>
        </is>
      </c>
      <c r="C1" s="27" t="inlineStr">
        <is>
          <t>status</t>
        </is>
      </c>
      <c r="D1" s="27" t="inlineStr">
        <is>
          <t>last_swept</t>
        </is>
      </c>
      <c r="E1" s="27" t="inlineStr">
        <is>
          <t>freshness_queries (3-4)</t>
        </is>
      </c>
      <c r="F1" s="27" t="inlineStr">
        <is>
          <t>positioning_delta (vs named neighbors)</t>
        </is>
      </c>
    </row>
    <row r="2" ht="79.5" customHeight="1" s="18">
      <c r="A2" s="20" t="inlineStr">
        <is>
          <t>PRIMARY</t>
        </is>
      </c>
      <c r="B2" s="20" t="inlineStr">
        <is>
          <t>India-anchored, sub-national, inference-attributed, JOINT carbon + scarcity-weighted water account of AI datacenters across India(deep)/US(solid)/EU(light), with (marginal carbon = US/UK Ceiling only) and a forward policy-lever + REGULATORY-GAP MAP, released open &amp; reproducible. [REPLACES the old dead framing: water-as-irreversible-STOCK (N2) and inference-WORKLOAD reallocation counterfactual (N4) are DROPPED.]</t>
        </is>
      </c>
      <c r="C2" s="22" t="inlineStr">
        <is>
          <t>open (verified vs ~70 read/verified works; re-validated 2026-09-20)</t>
        </is>
      </c>
      <c r="D2" s="20" t="inlineStr">
        <is>
          <t>2026-09-20</t>
        </is>
      </c>
      <c r="E2" s="20" t="inlineStr">
        <is>
          <t>1) 'AI datacenter sub-national carbon water accounting India 2026'  2) 'joint marginal carbon scarcity-weighted water datacenter US EU India'  3) 'datacenter regulatory gap carbon water disclosure India US EU'  4) 'Dominici Le Xie Harvard datacenter siting toolkit' (unpublished threat, US-only)</t>
        </is>
      </c>
      <c r="F2" s="20" t="inlineStr">
        <is>
          <t>LOAD-BEARING novelty = (a) India sub-national facility-level joint C+W account [unbuilt], (b) cross-jurisdiction regulatory-gap map [four-axis gap triple-confirmed], (c) open reproducible instrument. SUPPORTING = joint C+W x3 regions, monthly, inference-framed. THIN (do not overstate) = marginal carbon (Ceiling+US/UK only; Guidi 2411.09786 already does US avg+marginal) and inference-attribution (global ~80-90% scalar, coarser than per-query WCI/How-Hungry/SCARF). Nearest neighbours + delta: Siddik 2021 (US avg joint scarcity siting) -&gt; +India +EU +monthly +reg-gap-map +open; Guidi/Dominici pair 2606.05420+2607.02531 (split single-domain, US, avg) -&gt; unify + marginal + EU/India + policy lever; Xiao 2025; ThirstyFLOPS 2510.00471; How-Hungry 2505.09598 (out-granularizes on inference). See 00_PROJECT_STATE.md sec2.</t>
        </is>
      </c>
    </row>
    <row r="3" ht="57" customHeight="1" s="18">
      <c r="A3" s="20" t="inlineStr">
        <is>
          <t>BACKUP / fallback ladder</t>
        </is>
      </c>
      <c r="B3" s="20" t="inlineStr">
        <is>
          <t>Fallback ladder, every rung submittable: India+US+EU -&gt; India+US -&gt; India-only-deep -&gt; (last resort) perspective/reconciliation paper ('when does carbon/water-aware siting help vs backfire?' across US/EU/India, turning the field's contradictions + our GNN null into the contribution).</t>
        </is>
      </c>
      <c r="C3" s="21" t="inlineStr">
        <is>
          <t>vetted-backup</t>
        </is>
      </c>
      <c r="D3" s="20" t="inlineStr">
        <is>
          <t>2026-09-20</t>
        </is>
      </c>
      <c r="E3" s="20" t="inlineStr">
        <is>
          <t>1) 'limitations carbon-aware datacenter siting 2026'  2) 'marginal vs average emissions datacenter re-ranking'  3) 'datacenter water carbon tradeoff when helps 2026'</t>
        </is>
      </c>
      <c r="F3" s="20" t="inlineStr">
        <is>
          <t>Use if PRIMARY is scooped or a region proves data-infeasible. EuroSys'24 (Sukprasert) + bilevel externalities are carbon-only; none reconcile carbon AND water AND multi-region with a regulatory-gap lens.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90" customWidth="1" style="17" min="2" max="2"/>
  </cols>
  <sheetData>
    <row r="1" ht="15" customHeight="1" s="18">
      <c r="A1" s="28" t="inlineStr">
        <is>
          <t>date</t>
        </is>
      </c>
      <c r="B1" s="28" t="inlineStr">
        <is>
          <t>closeout verification note</t>
        </is>
      </c>
    </row>
    <row r="2" ht="15" customHeight="1" s="18">
      <c r="A2" s="26" t="inlineStr">
        <is>
          <t>2026-09-13</t>
        </is>
      </c>
      <c r="B2" s="25" t="inlineStr">
        <is>
          <t>LBNL2024 VERIFIED (Shehabi et al.): 176 TWh/4.4% 2023; 325-580 TWh/6.7-12% 2028.</t>
        </is>
      </c>
    </row>
    <row r="3" ht="23.25" customHeight="1" s="18">
      <c r="A3" s="26" t="inlineStr">
        <is>
          <t>2026-09-13</t>
        </is>
      </c>
      <c r="B3" s="25" t="inlineStr">
        <is>
          <t>FLAG: '548 gCO2/kWh / 50% above US avg' NOT found in LBNL2024 text -&gt; UNVERIFIED; likely arXiv 2411.09786.</t>
        </is>
      </c>
    </row>
    <row r="4" ht="23.25" customHeight="1" s="18">
      <c r="A4" s="26" t="inlineStr">
        <is>
          <t>2026-09-13</t>
        </is>
      </c>
      <c r="B4" s="25" t="inlineStr">
        <is>
          <t>Editor alignment: Verdolini network -&gt; SSP paper + RSER survey (organizer-adjacent must-cites); Clarens = DC-water organizer.</t>
        </is>
      </c>
    </row>
    <row r="5" ht="15" customHeight="1" s="18">
      <c r="A5" s="26" t="inlineStr">
        <is>
          <t>2026-09-13</t>
        </is>
      </c>
      <c r="B5" s="25" t="inlineStr">
        <is>
          <t>OPEN DEBT: pull Clarens 2024-26 DC water papers (lab page 530 + Scholar robots-blocked at closeout).</t>
        </is>
      </c>
    </row>
    <row r="6" ht="23.25" customHeight="1" s="18">
      <c r="A6" s="26" t="inlineStr">
        <is>
          <t>2026-09-13</t>
        </is>
      </c>
      <c r="B6" s="25" t="inlineStr">
        <is>
          <t>OPEN DEBT: confirm target-journal SSP paper authors/scope (paywalled); confirm EuroSys'24, Chasing Carbon, WaterWise, GLSVLSI'25 ids.</t>
        </is>
      </c>
    </row>
    <row r="7" ht="23.25" customHeight="1" s="18">
      <c r="A7" s="26" t="inlineStr">
        <is>
          <t>2026-09-13</t>
        </is>
      </c>
      <c r="B7" s="25" t="inlineStr">
        <is>
          <t>PRIOR SHEETS (5 uploaded) reviewed 2026-09-13. Added ~21 relevant papers; GNN/forecasting corpus (~40) archived in coding_sheet_1.xlsx, NOT integrated.</t>
        </is>
      </c>
    </row>
    <row r="8" ht="34.5" customHeight="1" s="18">
      <c r="A8" s="26" t="inlineStr">
        <is>
          <t>2026-09-13</t>
        </is>
      </c>
      <c r="B8" s="25" t="inlineStr">
        <is>
          <t>SCOOP-CHECK: Guidi&amp;Dominici 2607.02531 (US water-only accounting+distributional) &amp; Vabson 2601.16315 (US cost county-siting) each take HALF; joint carbon+water + inference-workload counterfactual + multi-region + equity SURVIVES.</t>
        </is>
      </c>
    </row>
    <row r="9" ht="23.25" customHeight="1" s="18">
      <c r="A9" s="26" t="inlineStr">
        <is>
          <t>2026-09-13</t>
        </is>
      </c>
      <c r="B9" s="25" t="inlineStr">
        <is>
          <t>M3 FLAG: prior sheet says GNN controls were 'edge-count-matched only, not degree-matched' (2026-09-06) yet repo AUDIT claims degree-matched -&gt; reconcile before any null claim.</t>
        </is>
      </c>
    </row>
    <row r="10" ht="23.25" customHeight="1" s="18">
      <c r="A10" s="26" t="inlineStr">
        <is>
          <t>2026-09-13</t>
        </is>
      </c>
      <c r="B10" s="25" t="inlineStr">
        <is>
          <t>M4 FLAG: cross-sheet ID conflicts (Sukprasert 2306.06502 vs EuroSys'24 DOI; eGLB 2307.05494 vs 10.1145/3632775.3661938) -&gt; reconcile in Phase-3.</t>
        </is>
      </c>
    </row>
    <row r="11" ht="23.25" customHeight="1" s="18">
      <c r="A11" s="26" t="inlineStr">
        <is>
          <t>2026-09-13</t>
        </is>
      </c>
      <c r="B11" s="25" t="inlineStr">
        <is>
          <t>DATA FILLS: Macknick 2012 (EWIF/scope-2) + Siddik/Mytton (WUE/scope-1) close the two water data gaps. GRACE/G3P (held) enables water-STOCK/irreversibility angle.</t>
        </is>
      </c>
    </row>
    <row r="12">
      <c r="A12" s="17" t="inlineStr">
        <is>
          <t>2026-09-13</t>
        </is>
      </c>
      <c r="B12" s="17" t="inlineStr">
        <is>
          <t>DEEP-DIVE: ~40 papers architecture-verified on primary via 6 parallel extractors. See ARCHITECTURE_LITERATURE_DEEP_DIVE.md. Routing/optimization lane is SATURATED.</t>
        </is>
      </c>
    </row>
    <row r="13">
      <c r="A13" s="17" t="inlineStr">
        <is>
          <t>2026-09-13</t>
        </is>
      </c>
      <c r="B13" s="17" t="inlineStr">
        <is>
          <t>CORRECTION: SLIT (arXiv 2505.23554) = the GLSVLSI'25 'Sustainable Carbon-Aware &amp; Water-Efficient LLM Scheduling' paper; roster listed it TWICE - dedupe.</t>
        </is>
      </c>
    </row>
    <row r="14">
      <c r="A14" s="17" t="inlineStr">
        <is>
          <t>2026-09-13</t>
        </is>
      </c>
      <c r="B14" s="17" t="inlineStr">
        <is>
          <t>CORRECTION: Vaca-Jimenez DOI is 10.1038/s41893-021-00686-7 ('echo chambers in the water-electricity nexus'), NOT ...00700-y.</t>
        </is>
      </c>
    </row>
    <row r="15">
      <c r="A15" s="17" t="inlineStr">
        <is>
          <t>2026-09-13</t>
        </is>
      </c>
      <c r="B15" s="17" t="inlineStr">
        <is>
          <t>CORRECTION: arXiv 2602.19310 actual title = 'A Power Market Model with Hyperscalers and Modular Datacenters' (Chen/Souza/Nematkhah/Liu).</t>
        </is>
      </c>
    </row>
    <row r="16">
      <c r="A16" s="17" t="inlineStr">
        <is>
          <t>2026-09-13</t>
        </is>
      </c>
      <c r="B16" s="17" t="inlineStr">
        <is>
          <t>CORRECTION: Siddik 2024 WRR (10.1029/2024WR038350) is ALL-US-electricity (Water IMPACT tool), NOT DC-specific - cite as grid-intensity substrate.</t>
        </is>
      </c>
    </row>
    <row r="17">
      <c r="A17" s="17" t="inlineStr">
        <is>
          <t>2026-09-13</t>
        </is>
      </c>
      <c r="B17" s="17" t="inlineStr">
        <is>
          <t>CONFIRMED: '548 gCO2/kWh' = misremembered '48% above US average' from arXiv 2411.09786 (Guidi/Dominici). Purge 548 from all drafts.</t>
        </is>
      </c>
    </row>
    <row r="18">
      <c r="A18" s="17" t="inlineStr">
        <is>
          <t>2026-09-13</t>
        </is>
      </c>
      <c r="B18" s="17" t="inlineStr">
        <is>
          <t>ADDED to roster: SCARF (2506.22773) + Spatio-Temporal Shifting carbon/water/land (2512.08725).</t>
        </is>
      </c>
    </row>
    <row r="19">
      <c r="A19" s="17" t="inlineStr">
        <is>
          <t>2026-09-13</t>
        </is>
      </c>
      <c r="B19" s="17" t="inlineStr">
        <is>
          <t>SCOOP RANK (deep-dive): Siddik2021 &gt; Xiao2025(Nat.Sust s41893-025-01681-y) &gt; BalancingBits&amp;Drops(2607.22617) &gt; LME-Ops(2512.18819) &gt; Cleanest-Grid(2608.06188) &gt; SCARF(2506.22773) &gt; WCI &gt; WaterWise. No paper does joint MARGINAL-carbon + SCARCITY-water + inference-attributed + US/EU/India + policy-counterfactual.</t>
        </is>
      </c>
    </row>
    <row r="20">
      <c r="A20" s="17" t="inlineStr">
        <is>
          <t>2026-09-13</t>
        </is>
      </c>
      <c r="B20" s="17" t="inlineStr">
        <is>
          <t>OPEN DEBT: SSP paper (S266627872600019X, in TARGET journal) primary content unreachable (SD 400/429 + IIASA anti-bot). Re-fetch via institutional access before citing.</t>
        </is>
      </c>
    </row>
    <row r="21">
      <c r="A21" s="17" t="inlineStr">
        <is>
          <t>2026-09-13</t>
        </is>
      </c>
      <c r="B21" s="17" t="inlineStr">
        <is>
          <t>CORRECTION/RETRACTION: '548 gCO2/kWh' is REAL, not phantom. Full read of 2411.09786 (Guidi/Dominici) reports DC-weighted intensity 548 vs 369 US-avg = 48.5%. Earlier 'purge 548' RETRACTED. Only error was attributing it to LBNL - cite Guidi/Dominici. Newer 2606.05420 reports ~545 on newer window.</t>
        </is>
      </c>
    </row>
    <row r="22">
      <c r="A22" s="17" t="inlineStr">
        <is>
          <t>2026-09-13</t>
        </is>
      </c>
      <c r="B22" s="17" t="inlineStr">
        <is>
          <t>2411.09786 now VERIFIED-FULL: computes BOTH average (EGW) AND marginal (WattTime) carbon; 105.59 Mt attributional / 101.21 Mt marginal; no PM2.5/health module.</t>
        </is>
      </c>
    </row>
    <row r="23">
      <c r="A23" s="17" t="inlineStr">
        <is>
          <t>2026-09-13</t>
        </is>
      </c>
      <c r="B23" s="17" t="inlineStr">
        <is>
          <t>COMPLETENESS SWEEP (round 2): review was NOT complete. Added 23 new rows incl. 2 SCOOP-RISKS: 2606.05420 (Guidi carbon) + 2603.02705 (Small Bottle Big Pipe, public-water peak capacity). Full reads PENDING (rate limit resets 21:20 UTC). Saturation confirmed on: scarcity-metric, LLM-benchmark, home-journal, Clarens/Siddik/Shehabi/Mytton axes.</t>
        </is>
      </c>
    </row>
    <row r="24">
      <c r="A24" s="17" t="inlineStr">
        <is>
          <t>2026-09-13</t>
        </is>
      </c>
      <c r="B24" s="17" t="inlineStr">
        <is>
          <t>CORRECTION: RSER review (S1364032126001607) lead author is Kim; Debnath is LAST author.</t>
        </is>
      </c>
    </row>
    <row r="25">
      <c r="A25" s="17" t="inlineStr">
        <is>
          <t>2026-09-13</t>
        </is>
      </c>
      <c r="B25" s="17" t="inlineStr">
        <is>
          <t>OPEN DEBTS (CANNOT CONFIRM, publisher walls): SSP paper S266627872600019X (TARGET JOURNAL); target-journal review S2666792425000058; IGI water-justice chapter. Pull via institutional access before citing specifics.</t>
        </is>
      </c>
    </row>
    <row r="26">
      <c r="A26" s="17" t="inlineStr">
        <is>
          <t>2026-09-13</t>
        </is>
      </c>
      <c r="B26" s="17" t="inlineStr">
        <is>
          <t>Remaining-papers extreme-detail teardown complete (accounting/energy/macro/coefficients/embodied/policy) - see LITERATURE_DEEP_DIVE_PART2.md. Conjunction gap still stands vs all ~40 read + 20 swept.</t>
        </is>
      </c>
    </row>
    <row r="27">
      <c r="A27" s="17" t="inlineStr">
        <is>
          <t>2026-09-14</t>
        </is>
      </c>
      <c r="B27" s="17" t="inlineStr">
        <is>
          <t>INQUIRY CLOSED (scoop reads done). 2606.05420 (Guidi hyperscale carbon): AVERAGE, explicitly DEFERS marginal to future work -&gt; our marginal axis SURVIVES. 2603.02705 (Small Bottle Big Pipe): CAPACITY-stress != scarcity -&gt; our scarcity axis SURVIVES.</t>
        </is>
      </c>
    </row>
    <row r="28">
      <c r="A28" s="17" t="inlineStr">
        <is>
          <t>2026-09-14</t>
        </is>
      </c>
      <c r="B28" s="17" t="inlineStr">
        <is>
          <t>BIGGEST joint scoop = Guidi/Dominici COMPANION pair 2606.05420 (carbon, Jun) + 2607.02531 (water w/ Aqueduct scarcity + simple counterfactual, Jul). Together approximate our joint claim BUT: 2 separate single-domain papers, carbon AVG not marginal, no EU/India, no inference attribution. Our novelty = unify + marginal + EU/India + inference + real policy lever.</t>
        </is>
      </c>
    </row>
    <row r="29">
      <c r="A29" s="17" t="inlineStr">
        <is>
          <t>2026-09-14</t>
        </is>
      </c>
      <c r="B29" s="17" t="inlineStr">
        <is>
          <t>ThirstyFLOPS (2510.00471) = strongest single joint carbon+SCARCITY-water precedent (AWARE, US/Italy/Japan) but avg carbon, HPC-not-inference, no India, no policy counterfactual.</t>
        </is>
      </c>
    </row>
    <row r="30">
      <c r="A30" s="17" t="inlineStr">
        <is>
          <t>2026-09-14</t>
        </is>
      </c>
      <c r="B30" s="17" t="inlineStr">
        <is>
          <t>TWO NEW scoop-risks found THIS pass: 2608.09882 (US DC emissions via MARGINAL gen mix - near-identical framing) + JCP/EarthArXiv 10.31223/X55M86 (scenario water forecast w/ mitigation counterfactuals). Lesson: each sweep still finds ~2 more -&gt; diminishing but nonzero; schedule T3 re-sweep.</t>
        </is>
      </c>
    </row>
    <row r="31">
      <c r="A31" s="17" t="inlineStr">
        <is>
          <t>2026-09-14</t>
        </is>
      </c>
      <c r="B31" s="17" t="inlineStr">
        <is>
          <t>STILL WALLED after determined retries (need institutional access): SSP paper S266627872600019X (TARGET JOURNAL); target-journal review S2666792425000058; IGI water-justice chapter; ERSS Europe S2214629626003105; ACS ES&amp;T Water 5c01503; Adv Applied Energy S266679242500037X.</t>
        </is>
      </c>
    </row>
    <row r="32">
      <c r="A32" s="17" t="inlineStr">
        <is>
          <t>2026-09-14</t>
        </is>
      </c>
      <c r="B32" s="17" t="inlineStr">
        <is>
          <t>CEEW rows 1 &amp; 2 likely the SAME report (Tripathi et al., CEEW+SYSTEMIQ Feb 2026). Key India: 0.5% national electricity, 1.5-&gt;6.5 GW by 2030, 43% of India DCs in high water-stress. Consolidate at write-time.</t>
        </is>
      </c>
    </row>
    <row r="33">
      <c r="A33" s="17" t="inlineStr">
        <is>
          <t>2026-09-14</t>
        </is>
      </c>
      <c r="B33" s="17" t="inlineStr">
        <is>
          <t>VERDICT: automated lit-rev now saturating - core conjunction (marginal carbon + scarcity water, JOINT, inference-attributed, US/EU/India, policy-lever counterfactual NOT router) STILL STANDS vs ~70 works. Irreducible gaps: 6 walled sources (human access), + non-English/unpublished/freshness (structural).</t>
        </is>
      </c>
    </row>
    <row r="34">
      <c r="A34" s="17" t="inlineStr">
        <is>
          <t>2026-09-14</t>
        </is>
      </c>
      <c r="B34" s="17" t="inlineStr">
        <is>
          <t>2608.09882 RESOLVED (abstract-level): econ.GN framing paper - ARGUES marginal-mix dependence but does NOT implement marginal accounting, no water quantification, whole-facility not inference. NOT a scoop; MUST-CITE as aligned motivation. Full-text read pending (arXiv 429-limited).</t>
        </is>
      </c>
    </row>
    <row r="35">
      <c r="A35" s="17" t="inlineStr">
        <is>
          <t>2026-09-14</t>
        </is>
      </c>
      <c r="B35" s="17" t="inlineStr">
        <is>
          <t>WALLED SOURCES UPDATE: Adv Applied Energy review S266679242500037X now READ (uploaded PDF) - Lal &amp; You Cornell review, MUST-CITE gap-map, LOW scoop (energy+carbon, water-light, US/EU/China, no India, no marginal, review not primary). SSP paper (S266627872600019X, TARGET JOURNAL) + target-journal review (S2666792425000058): user gave ScienceDirect signed links but WebFetch=Invalid URL + tokens expired -&gt; still UNREAD, need direct PDF upload.</t>
        </is>
      </c>
    </row>
    <row r="36">
      <c r="A36" s="17" t="inlineStr">
        <is>
          <t>2026-09-14</t>
        </is>
      </c>
      <c r="B36" s="17" t="inlineStr">
        <is>
          <t>DROPPED per user (not accessible): ERSS Denmark/Germany/Norway (S2214629626003105); ACS ES&amp;T Water siting (5c01503); IGI water-justice chapter. Excluded from the review. Walled-source count: 6 -&gt; 2 remaining (both target-journal, awaiting upload).</t>
        </is>
      </c>
    </row>
    <row r="37">
      <c r="A37" s="17" t="inlineStr">
        <is>
          <t>2026-09-14</t>
        </is>
      </c>
      <c r="B37" s="17" t="inlineStr">
        <is>
          <t>FINAL walled papers READ (uploaded PDFs). SSP paper S266627872600019X (Fan/Wilson/Kamiya/Mastrucci, Oxford/IIASA) CONFIRMED in target journal Energy &amp; Climate Change - MUST-CITE anchor (SSP1-5 global DC demand to 2050 = 1800-5000 TWh; &lt;100 gCO2/kWh from 2030 for 1.5C; DCs-as-separate-sector). LOW scoop (global/regional, avg carbon, no water/marginal/inference/sub-national/lever).</t>
        </is>
      </c>
    </row>
    <row r="38">
      <c r="A38" s="17" t="inlineStr">
        <is>
          <t>2026-09-14</t>
        </is>
      </c>
      <c r="B38" s="17" t="inlineStr">
        <is>
          <t>CORRECTION: S2666792425000058 (Shobanke et al.) is in ADVANCES IN APPLIED ENERGY (not Energy &amp; Climate Change), and is about AI-AS-TOOL for energy/climate MODELING (not AI footprint). CONTEXT, not scoop. =&gt; Only ONE walled paper (the SSP paper) was actually in the target journal.</t>
        </is>
      </c>
    </row>
    <row r="39">
      <c r="A39" s="17" t="inlineStr">
        <is>
          <t>2026-09-14</t>
        </is>
      </c>
      <c r="B39" s="17" t="inlineStr">
        <is>
          <t>ALL WALLED SOURCES CLOSED. Of original 6: 3 READ (Adv Applied Energy review S266679242500037X; SSP paper S266627872600019X; Shobanke review S2666792425000058), 3 DROPPED by user (ERSS Europe, ACS ES&amp;T Water siting, IGI chapter). ZERO remaining. Lit review fully closed pending only the automated T3 re-sweep (27 Sep).</t>
        </is>
      </c>
    </row>
    <row r="40">
      <c r="A40" s="17" t="inlineStr">
        <is>
          <t>2026-09-20</t>
        </is>
      </c>
      <c r="B40" s="17" t="inlineStr">
        <is>
          <t>CONSOLIDATION: context docs cut 31-&gt;~9 md; single source of truth = 00_PROJECT_STATE.md. Gaps-Freshness tab rewritten to current conjunction (dead N2 water-as-stock / N4 workload-reallocation framing removed).</t>
        </is>
      </c>
    </row>
    <row r="41">
      <c r="A41" s="17" t="inlineStr">
        <is>
          <t>2026-09-20</t>
        </is>
      </c>
      <c r="B41" s="17" t="inlineStr">
        <is>
          <t>CORRECTIONS (web-verified): CEA CO2 Baseline = v21.0 (Nov 2025), NOT v22 (v22 not yet released). India carbon = 5 regional grids/annual/average only. '43% water-stress' = GLOBAL; India-specific = 'more than half'/~60-80% (WRI India+CEEW). India facilities = 194 not ~132. eGRID2023 + AWARE2.0 confirmed accessible. Harvard Dominici/Le Xie siting toolkit = real, funded (Ascend Jun 2026), US-only.</t>
        </is>
      </c>
    </row>
    <row r="42">
      <c r="A42" s="17" t="inlineStr">
        <is>
          <t>2026-09-20</t>
        </is>
      </c>
      <c r="B42" s="17" t="inlineStr">
        <is>
          <t>HONESTY: coding sheet has 84 rows but only 31 verified=Y -&gt; report as '~70 read/verified', not '84 primary-read'. GAT repo fully autopsied on primary; scrap thesis, salvage data+geocoder+forecasting+rigor (see GNN_AUTOPSY.md sec8).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34" customWidth="1" style="17" min="2" max="2"/>
    <col width="13" customWidth="1" style="17" min="3" max="3"/>
    <col width="14" customWidth="1" style="17" min="4" max="4"/>
    <col width="18" customWidth="1" style="17" min="5" max="5"/>
    <col width="12" customWidth="1" style="17" min="6" max="6"/>
    <col width="52" customWidth="1" style="17" min="7" max="7"/>
  </cols>
  <sheetData>
    <row r="1" ht="15" customHeight="1" s="18">
      <c r="A1" s="19" t="inlineStr">
        <is>
          <t>need</t>
        </is>
      </c>
      <c r="B1" s="19" t="inlineStr">
        <is>
          <t>dataset (finalized)</t>
        </is>
      </c>
      <c r="C1" s="19" t="inlineStr">
        <is>
          <t>role</t>
        </is>
      </c>
      <c r="D1" s="19" t="inlineStr">
        <is>
          <t>region</t>
        </is>
      </c>
      <c r="E1" s="19" t="inlineStr">
        <is>
          <t>granularity</t>
        </is>
      </c>
      <c r="F1" s="19" t="inlineStr">
        <is>
          <t>status</t>
        </is>
      </c>
      <c r="G1" s="19" t="inlineStr">
        <is>
          <t>reason</t>
        </is>
      </c>
    </row>
    <row r="2" ht="23.85" customHeight="1" s="18">
      <c r="A2" s="20" t="inlineStr">
        <is>
          <t>① DC locations</t>
        </is>
      </c>
      <c r="B2" s="20" t="inlineStr">
        <is>
          <t>PNNL IM3 + NREL (Nov-2025)</t>
        </is>
      </c>
      <c r="C2" s="22" t="inlineStr">
        <is>
          <t>PRIMARY</t>
        </is>
      </c>
      <c r="D2" s="20" t="inlineStr">
        <is>
          <t>US</t>
        </is>
      </c>
      <c r="E2" s="20" t="inlineStr">
        <is>
          <t>facility point</t>
        </is>
      </c>
      <c r="F2" s="20" t="inlineStr">
        <is>
          <t>ACQUIRE</t>
        </is>
      </c>
      <c r="G2" s="20" t="inlineStr">
        <is>
          <t>research-grade, open, documented — replaces scraped maps (old weak point)</t>
        </is>
      </c>
    </row>
    <row r="3" ht="23.85" customHeight="1" s="18">
      <c r="A3" s="20" t="inlineStr">
        <is>
          <t>① DC locations</t>
        </is>
      </c>
      <c r="B3" s="20" t="inlineStr">
        <is>
          <t>CEEW + curated ~132 set (hand-verified)</t>
        </is>
      </c>
      <c r="C3" s="22" t="inlineStr">
        <is>
          <t>PRIMARY</t>
        </is>
      </c>
      <c r="D3" s="20" t="inlineStr">
        <is>
          <t>India</t>
        </is>
      </c>
      <c r="E3" s="20" t="inlineStr">
        <is>
          <t>facility point</t>
        </is>
      </c>
      <c r="F3" s="20" t="inlineStr">
        <is>
          <t>ACQUIRE</t>
        </is>
      </c>
      <c r="G3" s="20" t="inlineStr">
        <is>
          <t>small concentrated N is fully checkable; credible domestic institution</t>
        </is>
      </c>
    </row>
    <row r="4" ht="23.85" customHeight="1" s="18">
      <c r="A4" s="20" t="inlineStr">
        <is>
          <t>① DC locations</t>
        </is>
      </c>
      <c r="B4" s="20" t="inlineStr">
        <is>
          <t>curated hub list (hand-verified)</t>
        </is>
      </c>
      <c r="C4" s="22" t="inlineStr">
        <is>
          <t>PRIMARY</t>
        </is>
      </c>
      <c r="D4" s="20" t="inlineStr">
        <is>
          <t>EU</t>
        </is>
      </c>
      <c r="E4" s="20" t="inlineStr">
        <is>
          <t>facility point</t>
        </is>
      </c>
      <c r="F4" s="20" t="inlineStr">
        <is>
          <t>BUILD</t>
        </is>
      </c>
      <c r="G4" s="20" t="inlineStr">
        <is>
          <t>EU DCs cluster in known hubs; verifiable; EU is lower-priority region</t>
        </is>
      </c>
    </row>
    <row r="5" ht="23.85" customHeight="1" s="18">
      <c r="A5" s="20" t="inlineStr">
        <is>
          <t>① DC locations</t>
        </is>
      </c>
      <c r="B5" s="20" t="inlineStr">
        <is>
          <t>Data Center Map / SEC-EDGAR/S&amp;P</t>
        </is>
      </c>
      <c r="C5" s="29" t="inlineStr">
        <is>
          <t>CROSS-CHECK</t>
        </is>
      </c>
      <c r="D5" s="20" t="inlineStr">
        <is>
          <t>all</t>
        </is>
      </c>
      <c r="E5" s="20" t="inlineStr">
        <is>
          <t>facility point</t>
        </is>
      </c>
      <c r="F5" s="20" t="inlineStr">
        <is>
          <t>HAVE/opt</t>
        </is>
      </c>
      <c r="G5" s="20" t="inlineStr">
        <is>
          <t>gap-fill only; never the sole source (no methodology on scraped maps)</t>
        </is>
      </c>
    </row>
    <row r="6" ht="15" customHeight="1" s="18">
      <c r="A6" s="20" t="inlineStr">
        <is>
          <t>② Carbon EF (avg)</t>
        </is>
      </c>
      <c r="B6" s="20" t="inlineStr">
        <is>
          <t>EPA eGRID</t>
        </is>
      </c>
      <c r="C6" s="22" t="inlineStr">
        <is>
          <t>PRIMARY</t>
        </is>
      </c>
      <c r="D6" s="20" t="inlineStr">
        <is>
          <t>US</t>
        </is>
      </c>
      <c r="E6" s="20" t="inlineStr">
        <is>
          <t>subregion / annual</t>
        </is>
      </c>
      <c r="F6" s="20" t="inlineStr">
        <is>
          <t>HAVE</t>
        </is>
      </c>
      <c r="G6" s="20" t="inlineStr">
        <is>
          <t>official gold standard for US sub-national grid EF</t>
        </is>
      </c>
    </row>
    <row r="7" ht="15" customHeight="1" s="18">
      <c r="A7" s="20" t="inlineStr">
        <is>
          <t>② Carbon EF (avg)</t>
        </is>
      </c>
      <c r="B7" s="20" t="inlineStr">
        <is>
          <t>ENTSO-E Transparency</t>
        </is>
      </c>
      <c r="C7" s="22" t="inlineStr">
        <is>
          <t>PRIMARY</t>
        </is>
      </c>
      <c r="D7" s="20" t="inlineStr">
        <is>
          <t>EU</t>
        </is>
      </c>
      <c r="E7" s="20" t="inlineStr">
        <is>
          <t>country / monthly</t>
        </is>
      </c>
      <c r="F7" s="20" t="inlineStr">
        <is>
          <t>ACQUIRE</t>
        </is>
      </c>
      <c r="G7" s="20" t="inlineStr">
        <is>
          <t>official EU TSO ground truth</t>
        </is>
      </c>
    </row>
    <row r="8" ht="15" customHeight="1" s="18">
      <c r="A8" s="20" t="inlineStr">
        <is>
          <t>② Carbon EF (avg)</t>
        </is>
      </c>
      <c r="B8" s="20" t="inlineStr">
        <is>
          <t>CEA CO2 Baseline Database v19</t>
        </is>
      </c>
      <c r="C8" s="22" t="inlineStr">
        <is>
          <t>PRIMARY</t>
        </is>
      </c>
      <c r="D8" s="20" t="inlineStr">
        <is>
          <t>India</t>
        </is>
      </c>
      <c r="E8" s="20" t="inlineStr">
        <is>
          <t>region / annual</t>
        </is>
      </c>
      <c r="F8" s="20" t="inlineStr">
        <is>
          <t>ACQUIRE</t>
        </is>
      </c>
      <c r="G8" s="20" t="inlineStr">
        <is>
          <t>India's official grid-EF product (the eGRID analogue)</t>
        </is>
      </c>
    </row>
    <row r="9" ht="23.85" customHeight="1" s="18">
      <c r="A9" s="20" t="inlineStr">
        <is>
          <t>② Carbon EF (avg)</t>
        </is>
      </c>
      <c r="B9" s="20" t="inlineStr">
        <is>
          <t>Ember monthly</t>
        </is>
      </c>
      <c r="C9" s="21" t="inlineStr">
        <is>
          <t>CONVENIENCE</t>
        </is>
      </c>
      <c r="D9" s="20" t="inlineStr">
        <is>
          <t>US/EU/India</t>
        </is>
      </c>
      <c r="E9" s="20" t="inlineStr">
        <is>
          <t>monthly</t>
        </is>
      </c>
      <c r="F9" s="20" t="inlineStr">
        <is>
          <t>HAVE</t>
        </is>
      </c>
      <c r="G9" s="20" t="inlineStr">
        <is>
          <t>harmonises EIA/ENTSO-E/CEA into one series; cross-check to primaries</t>
        </is>
      </c>
    </row>
    <row r="10" ht="23.85" customHeight="1" s="18">
      <c r="A10" s="20" t="inlineStr">
        <is>
          <t>② Carbon EF (avg)</t>
        </is>
      </c>
      <c r="B10" s="20" t="inlineStr">
        <is>
          <t>LBNL 2024 US report</t>
        </is>
      </c>
      <c r="C10" s="30" t="inlineStr">
        <is>
          <t>CALIBRATION</t>
        </is>
      </c>
      <c r="D10" s="20" t="inlineStr">
        <is>
          <t>US</t>
        </is>
      </c>
      <c r="E10" s="20" t="inlineStr">
        <is>
          <t>national/annual</t>
        </is>
      </c>
      <c r="F10" s="20" t="inlineStr">
        <is>
          <t>HAVE</t>
        </is>
      </c>
      <c r="G10" s="20" t="inlineStr">
        <is>
          <t>sanity-check our bottom-up US total against an authoritative census</t>
        </is>
      </c>
    </row>
    <row r="11" ht="23.85" customHeight="1" s="18">
      <c r="A11" s="20" t="inlineStr">
        <is>
          <t>③ Marginal carbon</t>
        </is>
      </c>
      <c r="B11" s="20" t="inlineStr">
        <is>
          <t>WattTime / REsurety (free)</t>
        </is>
      </c>
      <c r="C11" s="22" t="inlineStr">
        <is>
          <t>PRIMARY</t>
        </is>
      </c>
      <c r="D11" s="20" t="inlineStr">
        <is>
          <t>US</t>
        </is>
      </c>
      <c r="E11" s="20" t="inlineStr">
        <is>
          <t>balancing-auth / hourly</t>
        </is>
      </c>
      <c r="F11" s="20" t="inlineStr">
        <is>
          <t>ACQUIRE (register)</t>
        </is>
      </c>
      <c r="G11" s="20" t="inlineStr">
        <is>
          <t>only credible + now-free US marginal source; validated</t>
        </is>
      </c>
    </row>
    <row r="12" ht="15" customHeight="1" s="18">
      <c r="A12" s="20" t="inlineStr">
        <is>
          <t>③ Marginal carbon</t>
        </is>
      </c>
      <c r="B12" s="20" t="inlineStr">
        <is>
          <t>UK Carbon Intensity API</t>
        </is>
      </c>
      <c r="C12" s="22" t="inlineStr">
        <is>
          <t>PRIMARY</t>
        </is>
      </c>
      <c r="D12" s="20" t="inlineStr">
        <is>
          <t>UK</t>
        </is>
      </c>
      <c r="E12" s="20" t="inlineStr">
        <is>
          <t>hourly</t>
        </is>
      </c>
      <c r="F12" s="20" t="inlineStr">
        <is>
          <t>ACQUIRE</t>
        </is>
      </c>
      <c r="G12" s="20" t="inlineStr">
        <is>
          <t>official (NG-ESO), free, documented — the open marginal case</t>
        </is>
      </c>
    </row>
    <row r="13" ht="23.85" customHeight="1" s="18">
      <c r="A13" s="20" t="inlineStr">
        <is>
          <t>④ Water physical</t>
        </is>
      </c>
      <c r="B13" s="20" t="inlineStr">
        <is>
          <t>Macknick et al. 2012 (EWIF)</t>
        </is>
      </c>
      <c r="C13" s="22" t="inlineStr">
        <is>
          <t>PRIMARY</t>
        </is>
      </c>
      <c r="D13" s="20" t="inlineStr">
        <is>
          <t>per gen-tech</t>
        </is>
      </c>
      <c r="E13" s="20" t="inlineStr">
        <is>
          <t>static coeff</t>
        </is>
      </c>
      <c r="F13" s="20" t="inlineStr">
        <is>
          <t>ACQUIRE</t>
        </is>
      </c>
      <c r="G13" s="20" t="inlineStr">
        <is>
          <t>peer-reviewed standard; used by Siddik + Making-AI-Less-Thirsty</t>
        </is>
      </c>
    </row>
    <row r="14" ht="15" customHeight="1" s="18">
      <c r="A14" s="20" t="inlineStr">
        <is>
          <t>④ Water physical</t>
        </is>
      </c>
      <c r="B14" s="20" t="inlineStr">
        <is>
          <t>Provider WUE + Uptime PUE</t>
        </is>
      </c>
      <c r="C14" s="22" t="inlineStr">
        <is>
          <t>PRIMARY*</t>
        </is>
      </c>
      <c r="D14" s="20" t="inlineStr">
        <is>
          <t>facility</t>
        </is>
      </c>
      <c r="E14" s="20" t="inlineStr">
        <is>
          <t>annual</t>
        </is>
      </c>
      <c r="F14" s="20" t="inlineStr">
        <is>
          <t>ACQUIRE</t>
        </is>
      </c>
      <c r="G14" s="20" t="inlineStr">
        <is>
          <t>only source; self-reported -&gt; widen uncertainty band (S9)</t>
        </is>
      </c>
    </row>
    <row r="15" ht="23.85" customHeight="1" s="18">
      <c r="A15" s="20" t="inlineStr">
        <is>
          <t>⑤ Water scarcity</t>
        </is>
      </c>
      <c r="B15" s="20" t="inlineStr">
        <is>
          <t>AWARE (WULCA)</t>
        </is>
      </c>
      <c r="C15" s="22" t="inlineStr">
        <is>
          <t>PRIMARY</t>
        </is>
      </c>
      <c r="D15" s="20" t="inlineStr">
        <is>
          <t>watershed</t>
        </is>
      </c>
      <c r="E15" s="20" t="inlineStr">
        <is>
          <t>monthly</t>
        </is>
      </c>
      <c r="F15" s="20" t="inlineStr">
        <is>
          <t>ACQUIRE</t>
        </is>
      </c>
      <c r="G15" s="20" t="inlineStr">
        <is>
          <t>peer-reviewed LCA standard, monthly; replaces static Aqueduct weight</t>
        </is>
      </c>
    </row>
    <row r="16" ht="23.85" customHeight="1" s="18">
      <c r="A16" s="20" t="inlineStr">
        <is>
          <t>⑤ Water scarcity</t>
        </is>
      </c>
      <c r="B16" s="20" t="inlineStr">
        <is>
          <t>WRI Aqueduct 4.0</t>
        </is>
      </c>
      <c r="C16" s="29" t="inlineStr">
        <is>
          <t>CROSS-CHECK</t>
        </is>
      </c>
      <c r="D16" s="20" t="inlineStr">
        <is>
          <t>subbasin</t>
        </is>
      </c>
      <c r="E16" s="20" t="inlineStr">
        <is>
          <t>static</t>
        </is>
      </c>
      <c r="F16" s="20" t="inlineStr">
        <is>
          <t>HAVE</t>
        </is>
      </c>
      <c r="G16" s="20" t="inlineStr">
        <is>
          <t>recognisable baseline sanity map only</t>
        </is>
      </c>
    </row>
    <row r="17" ht="23.85" customHeight="1" s="18">
      <c r="A17" s="20" t="inlineStr">
        <is>
          <t>⑤ Groundwater</t>
        </is>
      </c>
      <c r="B17" s="20" t="inlineStr">
        <is>
          <t>GRACE / G3P</t>
        </is>
      </c>
      <c r="C17" s="31" t="inlineStr">
        <is>
          <t>CONTEXT</t>
        </is>
      </c>
      <c r="D17" s="20" t="inlineStr">
        <is>
          <t>basin</t>
        </is>
      </c>
      <c r="E17" s="20" t="inlineStr">
        <is>
          <t>monthly-&gt;trend</t>
        </is>
      </c>
      <c r="F17" s="20" t="inlineStr">
        <is>
          <t>HAVE</t>
        </is>
      </c>
      <c r="G17" s="20" t="inlineStr">
        <is>
          <t>context only, NO attribution (agriculture/climate dominated, coarse)</t>
        </is>
      </c>
    </row>
    <row r="18" ht="23.85" customHeight="1" s="18">
      <c r="A18" s="20" t="inlineStr">
        <is>
          <t>⑤ Groundwater</t>
        </is>
      </c>
      <c r="B18" s="20" t="inlineStr">
        <is>
          <t>CGWB Ground Water Resource Assessment</t>
        </is>
      </c>
      <c r="C18" s="22" t="inlineStr">
        <is>
          <t>PRIMARY-context</t>
        </is>
      </c>
      <c r="D18" s="20" t="inlineStr">
        <is>
          <t>India</t>
        </is>
      </c>
      <c r="E18" s="20" t="inlineStr">
        <is>
          <t>block</t>
        </is>
      </c>
      <c r="F18" s="20" t="inlineStr">
        <is>
          <t>ACQUIRE</t>
        </is>
      </c>
      <c r="G18" s="20" t="inlineStr">
        <is>
          <t>official India ground truth, finer than GRACE -&gt; preferred for India</t>
        </is>
      </c>
    </row>
    <row r="19" ht="15" customHeight="1" s="18">
      <c r="A19" s="20" t="inlineStr">
        <is>
          <t>⑥ Inference</t>
        </is>
      </c>
      <c r="B19" s="20" t="inlineStr">
        <is>
          <t>MLPerf Inference + Luccioni</t>
        </is>
      </c>
      <c r="C19" s="22" t="inlineStr">
        <is>
          <t>PRIMARY</t>
        </is>
      </c>
      <c r="D19" s="20" t="inlineStr">
        <is>
          <t>model class</t>
        </is>
      </c>
      <c r="E19" s="20" t="inlineStr">
        <is>
          <t>per-query</t>
        </is>
      </c>
      <c r="F19" s="20" t="inlineStr">
        <is>
          <t>HAVE</t>
        </is>
      </c>
      <c r="G19" s="20" t="inlineStr">
        <is>
          <t>authoritative benchmark + peer-reviewed measurement</t>
        </is>
      </c>
    </row>
    <row r="20" ht="15" customHeight="1" s="18">
      <c r="A20" s="20" t="inlineStr">
        <is>
          <t>⑥ Inference</t>
        </is>
      </c>
      <c r="B20" s="20" t="inlineStr">
        <is>
          <t>Sectoral inference share ~80-90%</t>
        </is>
      </c>
      <c r="C20" s="21" t="inlineStr">
        <is>
          <t>FACTOR</t>
        </is>
      </c>
      <c r="D20" s="20" t="inlineStr">
        <is>
          <t>sector</t>
        </is>
      </c>
      <c r="E20" s="20" t="inlineStr">
        <is>
          <t>scalar+range</t>
        </is>
      </c>
      <c r="F20" s="20" t="inlineStr">
        <is>
          <t>HAVE</t>
        </is>
      </c>
      <c r="G20" s="20" t="inlineStr">
        <is>
          <t>transparent factor w/ sensitivity (no facility partition exists)</t>
        </is>
      </c>
    </row>
    <row r="21" ht="23.85" customHeight="1" s="18">
      <c r="A21" s="20" t="inlineStr">
        <is>
          <t>⑦ Geo layers</t>
        </is>
      </c>
      <c r="B21" s="20" t="inlineStr">
        <is>
          <t>HydroBASINS + eGRID/EIA-HIFLD BA shapefiles + GADM/Natural Earth</t>
        </is>
      </c>
      <c r="C21" s="22" t="inlineStr">
        <is>
          <t>PRIMARY</t>
        </is>
      </c>
      <c r="D21" s="20" t="inlineStr">
        <is>
          <t>all</t>
        </is>
      </c>
      <c r="E21" s="20" t="inlineStr">
        <is>
          <t>polygons</t>
        </is>
      </c>
      <c r="F21" s="20" t="inlineStr">
        <is>
          <t>ACQUIRE</t>
        </is>
      </c>
      <c r="G21" s="20" t="inlineStr">
        <is>
          <t>established, citable boundary products; consistent across regions</t>
        </is>
      </c>
    </row>
    <row r="22" ht="23.85" customHeight="1" s="18">
      <c r="A22" s="20" t="inlineStr">
        <is>
          <t>⑧ Policy EU</t>
        </is>
      </c>
      <c r="B22" s="20" t="inlineStr">
        <is>
          <t>EU Delegated Reg 2024/1364 + rating scheme</t>
        </is>
      </c>
      <c r="C22" s="22" t="inlineStr">
        <is>
          <t>PRIMARY</t>
        </is>
      </c>
      <c r="D22" s="20" t="inlineStr">
        <is>
          <t>EU</t>
        </is>
      </c>
      <c r="E22" s="20" t="inlineStr">
        <is>
          <t>instrument</t>
        </is>
      </c>
      <c r="F22" s="20" t="inlineStr">
        <is>
          <t>ACQUIRE</t>
        </is>
      </c>
      <c r="G22" s="20" t="inlineStr">
        <is>
          <t>official mandated reporting; defines levers + coverage</t>
        </is>
      </c>
    </row>
    <row r="23" ht="23.85" customHeight="1" s="18">
      <c r="A23" s="20" t="inlineStr">
        <is>
          <t>⑧ Policy US</t>
        </is>
      </c>
      <c r="B23" s="20" t="inlineStr">
        <is>
          <t>Sierra Club / MultiState / datacenterbans / tariff filings</t>
        </is>
      </c>
      <c r="C23" s="29" t="inlineStr">
        <is>
          <t>TRACKER</t>
        </is>
      </c>
      <c r="D23" s="20" t="inlineStr">
        <is>
          <t>US state</t>
        </is>
      </c>
      <c r="E23" s="20" t="inlineStr">
        <is>
          <t>instrument</t>
        </is>
      </c>
      <c r="F23" s="20" t="inlineStr">
        <is>
          <t>ACQUIRE</t>
        </is>
      </c>
      <c r="G23" s="20" t="inlineStr">
        <is>
          <t>accepted way to map the US patchwork (moratoria/tariffs/tax)</t>
        </is>
      </c>
    </row>
    <row r="24" ht="15" customHeight="1" s="18">
      <c r="A24" s="20" t="inlineStr">
        <is>
          <t>⑧ Policy India</t>
        </is>
      </c>
      <c r="B24" s="20" t="inlineStr">
        <is>
          <t>CEEW + govt policy</t>
        </is>
      </c>
      <c r="C24" s="22" t="inlineStr">
        <is>
          <t>PRIMARY</t>
        </is>
      </c>
      <c r="D24" s="20" t="inlineStr">
        <is>
          <t>India</t>
        </is>
      </c>
      <c r="E24" s="20" t="inlineStr">
        <is>
          <t>instrument</t>
        </is>
      </c>
      <c r="F24" s="20" t="inlineStr">
        <is>
          <t>ACQUIRE</t>
        </is>
      </c>
      <c r="G24" s="20" t="inlineStr">
        <is>
          <t>credible domestic source; development-vs-env framing</t>
        </is>
      </c>
    </row>
    <row r="25" ht="23.85" customHeight="1" s="18">
      <c r="A25" s="20" t="inlineStr">
        <is>
          <t>⑨ Growth (ceiling)</t>
        </is>
      </c>
      <c r="B25" s="20" t="inlineStr">
        <is>
          <t>announced pipelines + population/econ proxies</t>
        </is>
      </c>
      <c r="C25" s="32" t="inlineStr">
        <is>
          <t>SYNTHETIC</t>
        </is>
      </c>
      <c r="D25" s="20" t="inlineStr">
        <is>
          <t>region</t>
        </is>
      </c>
      <c r="E25" s="20" t="inlineStr">
        <is>
          <t>monthly</t>
        </is>
      </c>
      <c r="F25" s="20" t="inlineStr">
        <is>
          <t>BUILD</t>
        </is>
      </c>
      <c r="G25" s="20" t="inlineStr">
        <is>
          <t>no real workload data; declared synthetic + sensitivity-tested</t>
        </is>
      </c>
    </row>
    <row r="26" ht="35.05" customHeight="1" s="18">
      <c r="A26" s="20" t="inlineStr">
        <is>
          <t>— DROPPED —</t>
        </is>
      </c>
      <c r="B26" s="20" t="inlineStr">
        <is>
          <t>Aterio/poidata/Baxtel; Electricity Maps(primary); NITI curve; Open-Meteo; Aqueduct projections</t>
        </is>
      </c>
      <c r="C26" s="33" t="inlineStr">
        <is>
          <t>DROP</t>
        </is>
      </c>
      <c r="D26" s="20" t="inlineStr">
        <is>
          <t>—</t>
        </is>
      </c>
      <c r="E26" s="20" t="inlineStr">
        <is>
          <t>—</t>
        </is>
      </c>
      <c r="F26" s="20" t="inlineStr">
        <is>
          <t>DROP</t>
        </is>
      </c>
      <c r="G26" s="20" t="inlineStr">
        <is>
          <t>paid/closed, or gated/proprietary, or not an accounting input, or redundant</t>
        </is>
      </c>
    </row>
  </sheetData>
  <autoFilter ref="A1:G26"/>
  <dataValidations count="1">
    <dataValidation sqref="F2:F26" showDropDown="0" showInputMessage="0" showErrorMessage="0" allowBlank="1" type="list" errorStyle="stop" operator="between">
      <formula1>"HAVE,ACQUIRE,ACQUIRE (register),BUILD,HAVE/opt,DONE,DROP"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2026-09-13T06:19:30Z</dcterms:created>
  <dcterms:modified xmlns:dcterms="http://purl.org/dc/terms/" xmlns:xsi="http://www.w3.org/2001/XMLSchema-instance" xsi:type="dcterms:W3CDTF">2026-09-22T17:13:15Z</dcterms:modified>
  <cp:revision>0</cp:revision>
</cp:coreProperties>
</file>