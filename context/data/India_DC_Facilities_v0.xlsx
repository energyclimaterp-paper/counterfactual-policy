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acilities" sheetId="1" state="visible" r:id="rId3"/>
    <sheet name="Summary" sheetId="2" state="visible" r:id="rId4"/>
    <sheet name="Notes &amp; Method" sheetId="3" state="visible" r:id="rId5"/>
  </sheets>
  <definedNames>
    <definedName function="false" hidden="true" localSheetId="0" name="_xlnm._FilterDatabase" vbProcedure="false">Facilities!$A$1:$N$195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<sst xmlns="http://schemas.openxmlformats.org/spreadsheetml/2006/main" count="2087" uniqueCount="549">
  <si>
    <t xml:space="preserve">facility_name</t>
  </si>
  <si>
    <t xml:space="preserve">operator</t>
  </si>
  <si>
    <t xml:space="preserve">operator_family</t>
  </si>
  <si>
    <t xml:space="preserve">city</t>
  </si>
  <si>
    <t xml:space="preserve">state</t>
  </si>
  <si>
    <t xml:space="preserve">cea_grid_region</t>
  </si>
  <si>
    <t xml:space="preserve">capacity_mw</t>
  </si>
  <si>
    <t xml:space="preserve">capacity_basis</t>
  </si>
  <si>
    <t xml:space="preserve">status</t>
  </si>
  <si>
    <t xml:space="preserve">area_sqft</t>
  </si>
  <si>
    <t xml:space="preserve">confidence</t>
  </si>
  <si>
    <t xml:space="preserve">source_url</t>
  </si>
  <si>
    <t xml:space="preserve">notes</t>
  </si>
  <si>
    <t xml:space="preserve">op_capacity_mw</t>
  </si>
  <si>
    <t xml:space="preserve">CtrlS Mumbai DC1/DC2 (Nine Zone)</t>
  </si>
  <si>
    <t xml:space="preserve">CtrlS</t>
  </si>
  <si>
    <t xml:space="preserve">Mumbai</t>
  </si>
  <si>
    <t xml:space="preserve">Maharashtra</t>
  </si>
  <si>
    <t xml:space="preserve">Western</t>
  </si>
  <si>
    <t xml:space="preserve">combined</t>
  </si>
  <si>
    <t xml:space="preserve">Operational</t>
  </si>
  <si>
    <t xml:space="preserve">Med</t>
  </si>
  <si>
    <t xml:space="preserve">https://www.ctrls.com/datacenters-in-india/</t>
  </si>
  <si>
    <t xml:space="preserve">Combined DC1+DC2 disclosed</t>
  </si>
  <si>
    <t xml:space="preserve">CtrlS Mumbai DC3</t>
  </si>
  <si>
    <t xml:space="preserve">operational_total</t>
  </si>
  <si>
    <t xml:space="preserve">CtrlS Mumbai DC4</t>
  </si>
  <si>
    <t xml:space="preserve">High</t>
  </si>
  <si>
    <t xml:space="preserve">https://baxtel.com/data-centers/ctrls-datacenters-ltd</t>
  </si>
  <si>
    <t xml:space="preserve">2936 racks corroborated</t>
  </si>
  <si>
    <t xml:space="preserve">CtrlS Mumbai DC5</t>
  </si>
  <si>
    <t xml:space="preserve">2750 racks corroborated</t>
  </si>
  <si>
    <t xml:space="preserve">CtrlS Navi Mumbai DC6/DC7</t>
  </si>
  <si>
    <t xml:space="preserve">Navi Mumbai</t>
  </si>
  <si>
    <t xml:space="preserve">planned</t>
  </si>
  <si>
    <t xml:space="preserve">Under-construction</t>
  </si>
  <si>
    <t xml:space="preserve">Combined planned</t>
  </si>
  <si>
    <t xml:space="preserve">CtrlS Hyderabad DC1</t>
  </si>
  <si>
    <t xml:space="preserve">Hyderabad</t>
  </si>
  <si>
    <t xml:space="preserve">Telangana</t>
  </si>
  <si>
    <t xml:space="preserve">Southern</t>
  </si>
  <si>
    <t xml:space="preserve">CtrlS Hyderabad DC2</t>
  </si>
  <si>
    <t xml:space="preserve">CtrlS Hyderabad DC3</t>
  </si>
  <si>
    <t xml:space="preserve">CtrlS Chandan Valley Campus</t>
  </si>
  <si>
    <t xml:space="preserve">Announced</t>
  </si>
  <si>
    <t xml:space="preserve">Low</t>
  </si>
  <si>
    <t xml:space="preserve">https://www.datacenterdynamics.com/en/news/ctrls-to-build-40-acre-data-center-campus-near-hyderabad-india/</t>
  </si>
  <si>
    <t xml:space="preserve">6 buildings planned</t>
  </si>
  <si>
    <t xml:space="preserve">CtrlS Chennai DC2</t>
  </si>
  <si>
    <t xml:space="preserve">Chennai</t>
  </si>
  <si>
    <t xml:space="preserve">Tamil Nadu</t>
  </si>
  <si>
    <t xml:space="preserve">unknown</t>
  </si>
  <si>
    <t xml:space="preserve">CtrlS Chennai DC Park</t>
  </si>
  <si>
    <t xml:space="preserve">park</t>
  </si>
  <si>
    <t xml:space="preserve">Campus total sqft</t>
  </si>
  <si>
    <t xml:space="preserve">CtrlS Chennai DC3</t>
  </si>
  <si>
    <t xml:space="preserve">Single directory source</t>
  </si>
  <si>
    <t xml:space="preserve">CtrlS Noida DC1</t>
  </si>
  <si>
    <t xml:space="preserve">Noida</t>
  </si>
  <si>
    <t xml:space="preserve">Uttar Pradesh</t>
  </si>
  <si>
    <t xml:space="preserve">Northern</t>
  </si>
  <si>
    <t xml:space="preserve">https://www.ctrls.com/datacenter-noida/</t>
  </si>
  <si>
    <t xml:space="preserve">CtrlS Bangalore DC1</t>
  </si>
  <si>
    <t xml:space="preserve">Bengaluru</t>
  </si>
  <si>
    <t xml:space="preserve">Karnataka</t>
  </si>
  <si>
    <t xml:space="preserve">https://www.ctrls.com/datacenter-bangalore/</t>
  </si>
  <si>
    <t xml:space="preserve">CtrlS Kolkata DC1</t>
  </si>
  <si>
    <t xml:space="preserve">Kolkata</t>
  </si>
  <si>
    <t xml:space="preserve">West Bengal</t>
  </si>
  <si>
    <t xml:space="preserve">Eastern</t>
  </si>
  <si>
    <t xml:space="preserve">https://www.businessworld.in/article/ctrls-opens-kolkata-data-centre-567186</t>
  </si>
  <si>
    <t xml:space="preserve">CtrlS Kolkata Campus</t>
  </si>
  <si>
    <t xml:space="preserve">https://www.datacenterdynamics.com/en/news/indias-ctrls-datacenters-to-build-data-center-campus-in-kolkata/</t>
  </si>
  <si>
    <t xml:space="preserve">Rs2200cr</t>
  </si>
  <si>
    <t xml:space="preserve">CtrlS Patna Edge DC1</t>
  </si>
  <si>
    <t xml:space="preserve">Patna</t>
  </si>
  <si>
    <t xml:space="preserve">Bihar</t>
  </si>
  <si>
    <t xml:space="preserve">CtrlS Patna Edge DC2</t>
  </si>
  <si>
    <t xml:space="preserve">CtrlS Lucknow Edge DC</t>
  </si>
  <si>
    <t xml:space="preserve">Lucknow</t>
  </si>
  <si>
    <t xml:space="preserve">CtrlS Ahmedabad Edge DC</t>
  </si>
  <si>
    <t xml:space="preserve">Ahmedabad</t>
  </si>
  <si>
    <t xml:space="preserve">Gujarat</t>
  </si>
  <si>
    <t xml:space="preserve">CtrlS GIFT City DC</t>
  </si>
  <si>
    <t xml:space="preserve">Gandhinagar</t>
  </si>
  <si>
    <t xml:space="preserve">https://www.datacenterdynamics.com/en/news/ctrls-breaks-ground-on-data-center-in-gujarat-india-to-invest-30m-in-project/</t>
  </si>
  <si>
    <t xml:space="preserve">$30M</t>
  </si>
  <si>
    <t xml:space="preserve">CtrlS Bhopal DC</t>
  </si>
  <si>
    <t xml:space="preserve">Bhopal</t>
  </si>
  <si>
    <t xml:space="preserve">Madhya Pradesh</t>
  </si>
  <si>
    <t xml:space="preserve">https://telecomtalk.info/ctrls-invest-rs500-crore-greenfield-datacentre-bhopal/993442/</t>
  </si>
  <si>
    <t xml:space="preserve">Rs500cr</t>
  </si>
  <si>
    <t xml:space="preserve">CtrlS Guwahati DC</t>
  </si>
  <si>
    <t xml:space="preserve">Guwahati</t>
  </si>
  <si>
    <t xml:space="preserve">Assam</t>
  </si>
  <si>
    <t xml:space="preserve">North-Eastern</t>
  </si>
  <si>
    <t xml:space="preserve">https://www.datacenterdynamics.com/en/news/ctrls-breaks-ground-on-new-data-center-in-guwahati-assam/</t>
  </si>
  <si>
    <t xml:space="preserve">CtrlS Bhubaneswar Edge</t>
  </si>
  <si>
    <t xml:space="preserve">Bhubaneswar</t>
  </si>
  <si>
    <t xml:space="preserve">Odisha</t>
  </si>
  <si>
    <t xml:space="preserve">Single source</t>
  </si>
  <si>
    <t xml:space="preserve">CtrlS Kochi Edge</t>
  </si>
  <si>
    <t xml:space="preserve">Kochi</t>
  </si>
  <si>
    <t xml:space="preserve">Kerala</t>
  </si>
  <si>
    <t xml:space="preserve">Yotta NM1</t>
  </si>
  <si>
    <t xml:space="preserve">Yotta</t>
  </si>
  <si>
    <t xml:space="preserve">operational_IT</t>
  </si>
  <si>
    <t xml:space="preserve">https://yotta.com/</t>
  </si>
  <si>
    <t xml:space="preserve">~7000 racks</t>
  </si>
  <si>
    <t xml:space="preserve">Yotta NM2</t>
  </si>
  <si>
    <t xml:space="preserve">https://colocation.yotta.com/data-center/</t>
  </si>
  <si>
    <t xml:space="preserve">Core and shell ready</t>
  </si>
  <si>
    <t xml:space="preserve">Yotta D1 Shakti (Greater Noida)</t>
  </si>
  <si>
    <t xml:space="preserve">Greater Noida</t>
  </si>
  <si>
    <t xml:space="preserve">https://www.datacenterdynamics.com/en/news/yotta-launches-data-center-in-noida-india/</t>
  </si>
  <si>
    <t xml:space="preserve">5000 racks</t>
  </si>
  <si>
    <t xml:space="preserve">Yotta G1 (GIFT City)</t>
  </si>
  <si>
    <t xml:space="preserve">350 racks</t>
  </si>
  <si>
    <t xml:space="preserve">Yotta Chennai DC Park</t>
  </si>
  <si>
    <t xml:space="preserve">25000 racks planned</t>
  </si>
  <si>
    <t xml:space="preserve">Sify Mumbai 01 (Vashi)</t>
  </si>
  <si>
    <t xml:space="preserve">Sify</t>
  </si>
  <si>
    <t xml:space="preserve">https://baxtel.com/data-centers/sify-technologies</t>
  </si>
  <si>
    <t xml:space="preserve">Sify Mumbai 02 (Airoli)</t>
  </si>
  <si>
    <t xml:space="preserve">1345 racks</t>
  </si>
  <si>
    <t xml:space="preserve">Sify Rabale DC Park (Mumbai 03)</t>
  </si>
  <si>
    <t xml:space="preserve">https://www.sifytechnologies.com/data-center/rabale-data-center/</t>
  </si>
  <si>
    <t xml:space="preserve">5 towers live; low end of 85-97 range; scaling to 185+</t>
  </si>
  <si>
    <t xml:space="preserve">Sify Noida 01</t>
  </si>
  <si>
    <t xml:space="preserve">2100 racks</t>
  </si>
  <si>
    <t xml:space="preserve">Sify Noida 02 Campus</t>
  </si>
  <si>
    <t xml:space="preserve">https://www.sifytechnologies.com/data-center/noida02-data-center/</t>
  </si>
  <si>
    <t xml:space="preserve">Campus target 78MW</t>
  </si>
  <si>
    <t xml:space="preserve">Sify Bangalore 01</t>
  </si>
  <si>
    <t xml:space="preserve">600+ racks</t>
  </si>
  <si>
    <t xml:space="preserve">Sify Bangalore 02</t>
  </si>
  <si>
    <t xml:space="preserve">Sify Hyderabad 1</t>
  </si>
  <si>
    <t xml:space="preserve">2400 racks</t>
  </si>
  <si>
    <t xml:space="preserve">Sify Hyderabad 2 Campus</t>
  </si>
  <si>
    <t xml:space="preserve">Sify Chennai 01</t>
  </si>
  <si>
    <t xml:space="preserve">800+ racks</t>
  </si>
  <si>
    <t xml:space="preserve">Sify Chennai Campus (Siruseri)</t>
  </si>
  <si>
    <t xml:space="preserve">https://www.deccanherald.com/india/tamil-nadu/m-k-stalin-inaugurates-rs-1882-cr-sify-data-center-campus-3497854</t>
  </si>
  <si>
    <t xml:space="preserve">Rs1882cr; may overlap directory Chennai 02</t>
  </si>
  <si>
    <t xml:space="preserve">Sify Kolkata</t>
  </si>
  <si>
    <t xml:space="preserve">400+ racks</t>
  </si>
  <si>
    <t xml:space="preserve">Sify Visakhapatnam Campus</t>
  </si>
  <si>
    <t xml:space="preserve">Visakhapatnam</t>
  </si>
  <si>
    <t xml:space="preserve">Andhra Pradesh</t>
  </si>
  <si>
    <t xml:space="preserve">Sify Chandigarh</t>
  </si>
  <si>
    <t xml:space="preserve">Chandigarh</t>
  </si>
  <si>
    <t xml:space="preserve">Sify Lucknow</t>
  </si>
  <si>
    <t xml:space="preserve">Sify Nagpur</t>
  </si>
  <si>
    <t xml:space="preserve">Nagpur</t>
  </si>
  <si>
    <t xml:space="preserve">Iron Mountain MUM-1 (Rabale)</t>
  </si>
  <si>
    <t xml:space="preserve">Iron Mountain</t>
  </si>
  <si>
    <t xml:space="preserve">Web Werks / Iron Mountain JV</t>
  </si>
  <si>
    <t xml:space="preserve">https://www.ironmountain.com/data-centers/locations/mumbai-data-center</t>
  </si>
  <si>
    <t xml:space="preserve">ex-Web Werks</t>
  </si>
  <si>
    <t xml:space="preserve">Iron Mountain MUM-2 (Rabale)</t>
  </si>
  <si>
    <t xml:space="preserve">Iron Mountain MUM-3</t>
  </si>
  <si>
    <t xml:space="preserve">Target 2027-28</t>
  </si>
  <si>
    <t xml:space="preserve">Iron Mountain BLR-1</t>
  </si>
  <si>
    <t xml:space="preserve">https://baxtel.com/data-centers/web-werks</t>
  </si>
  <si>
    <t xml:space="preserve">Iron Mountain HYD-1</t>
  </si>
  <si>
    <t xml:space="preserve">Iron Mountain NCR-1 (Noida)</t>
  </si>
  <si>
    <t xml:space="preserve">https://www.ironmountain.com/data-centers/locations/delhi-ncr-data-center</t>
  </si>
  <si>
    <t xml:space="preserve">Iron Mountain NCR-2 (Noida)</t>
  </si>
  <si>
    <t xml:space="preserve">Iron Mountain PUN-1 (Hinjewadi)</t>
  </si>
  <si>
    <t xml:space="preserve">Pune</t>
  </si>
  <si>
    <t xml:space="preserve">https://www.ironmountain.com/data-centers/locations/apac/pune-data-center</t>
  </si>
  <si>
    <t xml:space="preserve">Iron Mountain CHN-1</t>
  </si>
  <si>
    <t xml:space="preserve">https://www.ironmountain.com/data-centers/locations/apac</t>
  </si>
  <si>
    <t xml:space="preserve">Target 2026</t>
  </si>
  <si>
    <t xml:space="preserve">Iron Mountain CHN-2</t>
  </si>
  <si>
    <t xml:space="preserve">Target 2028</t>
  </si>
  <si>
    <t xml:space="preserve">ESDS Nashik DC</t>
  </si>
  <si>
    <t xml:space="preserve">ESDS</t>
  </si>
  <si>
    <t xml:space="preserve">Nashik</t>
  </si>
  <si>
    <t xml:space="preserve">https://www.esds.co.in/our-datacenter</t>
  </si>
  <si>
    <t xml:space="preserve">ESDS Airoli DC</t>
  </si>
  <si>
    <t xml:space="preserve">ESDS STPI Bengaluru</t>
  </si>
  <si>
    <t xml:space="preserve">At govt STPI premises</t>
  </si>
  <si>
    <t xml:space="preserve">ESDS STPI Mohali</t>
  </si>
  <si>
    <t xml:space="preserve">Mohali</t>
  </si>
  <si>
    <t xml:space="preserve">Punjab</t>
  </si>
  <si>
    <t xml:space="preserve">ESDS STPI Noida</t>
  </si>
  <si>
    <t xml:space="preserve">ESDS STPI Kolkata</t>
  </si>
  <si>
    <t xml:space="preserve">ESDS CEL Ghaziabad</t>
  </si>
  <si>
    <t xml:space="preserve">Ghaziabad</t>
  </si>
  <si>
    <t xml:space="preserve">Pi Vijayawada/Amaravati Campus</t>
  </si>
  <si>
    <t xml:space="preserve">Pi Datacenters</t>
  </si>
  <si>
    <t xml:space="preserve">Mangalagiri</t>
  </si>
  <si>
    <t xml:space="preserve">https://pidatacenters.com/about-pi</t>
  </si>
  <si>
    <t xml:space="preserve">Scalable to 120MW; low end of 60-70</t>
  </si>
  <si>
    <t xml:space="preserve">Pi Mumbai</t>
  </si>
  <si>
    <t xml:space="preserve">https://baxtel.com/news/pi-data-centers-plans-23mw-mumbai-facility</t>
  </si>
  <si>
    <t xml:space="preserve">Phase1 3MW</t>
  </si>
  <si>
    <t xml:space="preserve">Pi Kochi</t>
  </si>
  <si>
    <t xml:space="preserve">https://www.datacenters.com/pi-kochi</t>
  </si>
  <si>
    <t xml:space="preserve">Pi Hyderabad (Gachibowli)</t>
  </si>
  <si>
    <t xml:space="preserve">Uncertain</t>
  </si>
  <si>
    <t xml:space="preserve">https://datacenterhawk.com/marketplace/providers/pi-data-centers</t>
  </si>
  <si>
    <t xml:space="preserve">Possibly office not DC</t>
  </si>
  <si>
    <t xml:space="preserve">NxtGen HDDC (Bidadi)</t>
  </si>
  <si>
    <t xml:space="preserve">NxtGen</t>
  </si>
  <si>
    <t xml:space="preserve">Bengaluru Rural</t>
  </si>
  <si>
    <t xml:space="preserve">https://www.datacentermap.com/india/bangalore/nxtgen-hddc/</t>
  </si>
  <si>
    <t xml:space="preserve">NxtGen Infinite Bengaluru</t>
  </si>
  <si>
    <t xml:space="preserve">https://baxtel.com/data-center/nxtgen-infinite-bengaluru</t>
  </si>
  <si>
    <t xml:space="preserve">May share campus with HDDC</t>
  </si>
  <si>
    <t xml:space="preserve">NxtGen Infinite Whitefield</t>
  </si>
  <si>
    <t xml:space="preserve">https://baxtel.com/data-center/nxtgen-infinite-bengaluru-whitefield</t>
  </si>
  <si>
    <t xml:space="preserve">NxtGen Ahmedabad</t>
  </si>
  <si>
    <t xml:space="preserve">https://www.datacenterdynamics.com/en/news/nxtgen-raising-100-million/</t>
  </si>
  <si>
    <t xml:space="preserve">Dated 2022 source</t>
  </si>
  <si>
    <t xml:space="preserve">NxtGen Faridabad</t>
  </si>
  <si>
    <t xml:space="preserve">Faridabad</t>
  </si>
  <si>
    <t xml:space="preserve">Haryana</t>
  </si>
  <si>
    <t xml:space="preserve">NxtGen Mumbai</t>
  </si>
  <si>
    <t xml:space="preserve">Nxtra Chandivali (MUM1)</t>
  </si>
  <si>
    <t xml:space="preserve">Nxtra by Airtel</t>
  </si>
  <si>
    <t xml:space="preserve">https://www.nxtra.in/data-center-mumbai</t>
  </si>
  <si>
    <t xml:space="preserve">Nxtra Airoli (MUM2)</t>
  </si>
  <si>
    <t xml:space="preserve">Nxtra Mahape 1 (MUM3)</t>
  </si>
  <si>
    <t xml:space="preserve">Nxtra Mahape 2 (MUM4)</t>
  </si>
  <si>
    <t xml:space="preserve">Nxtra Kharadi (PUN1)</t>
  </si>
  <si>
    <t xml:space="preserve">https://www.nxtra.in/data-center-pune</t>
  </si>
  <si>
    <t xml:space="preserve">Nxtra Hinjewadi 1 (PUN2)</t>
  </si>
  <si>
    <t xml:space="preserve">Nxtra Hinjewadi 2 (PUN3)</t>
  </si>
  <si>
    <t xml:space="preserve">Nxtra Hinjewadi 3 (PUN4)</t>
  </si>
  <si>
    <t xml:space="preserve">Nxtra Whitefield (BLR1)</t>
  </si>
  <si>
    <t xml:space="preserve">https://www.nxtra.in/data-center-bangalore</t>
  </si>
  <si>
    <t xml:space="preserve">Nxtra Hoskote 1 (BLR2)</t>
  </si>
  <si>
    <t xml:space="preserve">Nxtra Hoskote 2 (BLR3)</t>
  </si>
  <si>
    <t xml:space="preserve">Nxtra Bangalore DC2</t>
  </si>
  <si>
    <t xml:space="preserve">Nxtra Santhome (CHE1)</t>
  </si>
  <si>
    <t xml:space="preserve">https://www.nxtra.in/data-center-chennai</t>
  </si>
  <si>
    <t xml:space="preserve">Nxtra Siruseri 1 (CHE2)</t>
  </si>
  <si>
    <t xml:space="preserve">Nxtra Siruseri 2 (CHE3)</t>
  </si>
  <si>
    <t xml:space="preserve">Nxtra Siruseri DC3</t>
  </si>
  <si>
    <t xml:space="preserve">Nxtra Noida Sec-62 (NCR1)</t>
  </si>
  <si>
    <t xml:space="preserve">https://www.nxtra.in/data-center-noida</t>
  </si>
  <si>
    <t xml:space="preserve">Nxtra Noida Sec-81 (NCR2)</t>
  </si>
  <si>
    <t xml:space="preserve">Nxtra NCR Hyperscale (NCR4)</t>
  </si>
  <si>
    <t xml:space="preserve">Nxtra Manesar (NCR3)</t>
  </si>
  <si>
    <t xml:space="preserve">Manesar</t>
  </si>
  <si>
    <t xml:space="preserve">estimate</t>
  </si>
  <si>
    <t xml:space="preserve">https://www.datacentermap.com/india/gurgaon/nxtra-manesar-i/</t>
  </si>
  <si>
    <t xml:space="preserve">Third-party estimate</t>
  </si>
  <si>
    <t xml:space="preserve">Nxtra Kolkata (KOL1)</t>
  </si>
  <si>
    <t xml:space="preserve">https://www.nxtra.in/data-center-kolkata-bhubaneshwar</t>
  </si>
  <si>
    <t xml:space="preserve">Nxtra Bhubaneshwar (BBR1)</t>
  </si>
  <si>
    <t xml:space="preserve">Nxtra Kokapet (HYD1)</t>
  </si>
  <si>
    <t xml:space="preserve">https://www.nxtra.in/data-center-hyderabad</t>
  </si>
  <si>
    <t xml:space="preserve">Nxtra Hyderabad new campus</t>
  </si>
  <si>
    <t xml:space="preserve">https://www.datacenterdynamics.com/en/news/airtels-nxtra-plans-200mw-hyderabad-data-centers/</t>
  </si>
  <si>
    <t xml:space="preserve">40-acre</t>
  </si>
  <si>
    <t xml:space="preserve">Nxtra Edge network (66 cities)</t>
  </si>
  <si>
    <t xml:space="preserve">Multiple</t>
  </si>
  <si>
    <t xml:space="preserve">edge</t>
  </si>
  <si>
    <t xml:space="preserve">https://www.nxtra.in/</t>
  </si>
  <si>
    <t xml:space="preserve">120+ locations; not MW-rated</t>
  </si>
  <si>
    <t xml:space="preserve">AdaniConneX Chennai 1 (MAA)</t>
  </si>
  <si>
    <t xml:space="preserve">AdaniConneX</t>
  </si>
  <si>
    <t xml:space="preserve">https://www.adaniconnex.com/data-centers</t>
  </si>
  <si>
    <t xml:space="preserve">Phase1 live Oct2022</t>
  </si>
  <si>
    <t xml:space="preserve">AdaniConneX Hyderabad Campus</t>
  </si>
  <si>
    <t xml:space="preserve">Ph1 live Oct2024</t>
  </si>
  <si>
    <t xml:space="preserve">AdaniConneX Noida Campus</t>
  </si>
  <si>
    <t xml:space="preserve">Ph1 live Jan2025</t>
  </si>
  <si>
    <t xml:space="preserve">AdaniConneX Navi Mumbai Campus</t>
  </si>
  <si>
    <t xml:space="preserve">AdaniConneX Pune Campus</t>
  </si>
  <si>
    <t xml:space="preserve">AdaniConneX/Google Vizag AI Campus</t>
  </si>
  <si>
    <t xml:space="preserve">AdaniConneX + Google</t>
  </si>
  <si>
    <t xml:space="preserve">https://www.adani.com/newsroom/media-releases/adani-and-google-partner</t>
  </si>
  <si>
    <t xml:space="preserve">Google $15B; also under Google brand</t>
  </si>
  <si>
    <t xml:space="preserve">Reliance Jamnagar AI DC</t>
  </si>
  <si>
    <t xml:space="preserve">Reliance / Jio</t>
  </si>
  <si>
    <t xml:space="preserve">Jamnagar</t>
  </si>
  <si>
    <t xml:space="preserve">https://about.fb.com/news/2026/06/meta-partners-with-reliance-on-ai-enabled-data-center-in-india/</t>
  </si>
  <si>
    <t xml:space="preserve">+168MW Meta lease; up to 3GW plan</t>
  </si>
  <si>
    <t xml:space="preserve">Digital Connexion MAA10 (Chennai)</t>
  </si>
  <si>
    <t xml:space="preserve">Digital Connexion</t>
  </si>
  <si>
    <t xml:space="preserve">Digital Realty / Brookfield / Jio JV</t>
  </si>
  <si>
    <t xml:space="preserve">https://www.digitalconnexion.com/datacenter/</t>
  </si>
  <si>
    <t xml:space="preserve">100MW campus; JV also under Digital Realty</t>
  </si>
  <si>
    <t xml:space="preserve">Digital Connexion BOM10 (Mumbai)</t>
  </si>
  <si>
    <t xml:space="preserve">https://digitalconnexion.com/india/mumbai</t>
  </si>
  <si>
    <t xml:space="preserve">Digital Connexion Vizag</t>
  </si>
  <si>
    <t xml:space="preserve">https://www.thenewsminute.com/news/reliance-brookfield-joint-venture-vizag</t>
  </si>
  <si>
    <t xml:space="preserve">Separate from Adani-Google Vizag</t>
  </si>
  <si>
    <t xml:space="preserve">TCS HyperVault AI DC</t>
  </si>
  <si>
    <t xml:space="preserve">TCS HyperVault</t>
  </si>
  <si>
    <t xml:space="preserve">Tata (TCS)</t>
  </si>
  <si>
    <t xml:space="preserve">Undisclosed</t>
  </si>
  <si>
    <t xml:space="preserve">https://www.datacenterdynamics.com/en/news/indias-tata-launches-business-entity-for-1gw-data-center-build-out/</t>
  </si>
  <si>
    <t xml:space="preserve">OpenAI partner; site TBD</t>
  </si>
  <si>
    <t xml:space="preserve">STT Mumbai 1 (Prabhadevi)</t>
  </si>
  <si>
    <t xml:space="preserve">STT GDC India</t>
  </si>
  <si>
    <t xml:space="preserve">https://www.sttgdc.com/in-en/locations/mumbai</t>
  </si>
  <si>
    <t xml:space="preserve">STT Mumbai 2 (Andheri)</t>
  </si>
  <si>
    <t xml:space="preserve">STT Mumbai 3 (BKC)</t>
  </si>
  <si>
    <t xml:space="preserve">STT Navi Mumbai 1 (Mahape)</t>
  </si>
  <si>
    <t xml:space="preserve">STT Navi Mumbai 2</t>
  </si>
  <si>
    <t xml:space="preserve">STT Navi Mumbai 3</t>
  </si>
  <si>
    <t xml:space="preserve">STT Navi Mumbai 4</t>
  </si>
  <si>
    <t xml:space="preserve">STT Palava 1</t>
  </si>
  <si>
    <t xml:space="preserve">370-acre park</t>
  </si>
  <si>
    <t xml:space="preserve">STT Palava 4</t>
  </si>
  <si>
    <t xml:space="preserve">STT Palava 5</t>
  </si>
  <si>
    <t xml:space="preserve">STT Chennai 1 (VSB)</t>
  </si>
  <si>
    <t xml:space="preserve">https://www.sttgdc.com/in-en/locations/chennai</t>
  </si>
  <si>
    <t xml:space="preserve">STT Chennai 2 (Ambattur)</t>
  </si>
  <si>
    <t xml:space="preserve">STT Chennai 3 (Ambattur)</t>
  </si>
  <si>
    <t xml:space="preserve">STT Chennai 4 (Ambattur)</t>
  </si>
  <si>
    <t xml:space="preserve">STT Chennai 7 (Siruseri)</t>
  </si>
  <si>
    <t xml:space="preserve">STT Bengaluru 1 (Sanjay Nagar)</t>
  </si>
  <si>
    <t xml:space="preserve">https://www.sttgdc.com/in-en/locations/bengaluru</t>
  </si>
  <si>
    <t xml:space="preserve">STT Bengaluru 2 (KIADB)</t>
  </si>
  <si>
    <t xml:space="preserve">STT Bengaluru 3 (Whitefield)</t>
  </si>
  <si>
    <t xml:space="preserve">STT Noida 1</t>
  </si>
  <si>
    <t xml:space="preserve">https://www.sttgdc.com/in-en/locations/noida</t>
  </si>
  <si>
    <t xml:space="preserve">STT Noida 2</t>
  </si>
  <si>
    <t xml:space="preserve">STT Noida 3</t>
  </si>
  <si>
    <t xml:space="preserve">STT Delhi 1</t>
  </si>
  <si>
    <t xml:space="preserve">Delhi</t>
  </si>
  <si>
    <t xml:space="preserve">https://www.sttgdc.com/in-en/locations/delhi</t>
  </si>
  <si>
    <t xml:space="preserve">STT Delhi 2 (GK1)</t>
  </si>
  <si>
    <t xml:space="preserve">STT Delhi 3 (GK)</t>
  </si>
  <si>
    <t xml:space="preserve">STT Pune 1 (Dighi)</t>
  </si>
  <si>
    <t xml:space="preserve">https://www.sttgdc.com/in-en/locations/pune</t>
  </si>
  <si>
    <t xml:space="preserve">STT Pune 2</t>
  </si>
  <si>
    <t xml:space="preserve">STT Pune 3</t>
  </si>
  <si>
    <t xml:space="preserve">STT Pune 4</t>
  </si>
  <si>
    <t xml:space="preserve">STT Pune 5</t>
  </si>
  <si>
    <t xml:space="preserve">STT Hyderabad 1 (HITEC)</t>
  </si>
  <si>
    <t xml:space="preserve">https://www.sttgdc.com/in-en/locations/hyderabad</t>
  </si>
  <si>
    <t xml:space="preserve">STT Kolkata 1 (Ultadanga)</t>
  </si>
  <si>
    <t xml:space="preserve">https://www.sttgdc.com/in-en/locations/kolkata</t>
  </si>
  <si>
    <t xml:space="preserve">STT Kolkata 2 (New Town)</t>
  </si>
  <si>
    <t xml:space="preserve">STT Ahmedabad 1 (GIFT City)</t>
  </si>
  <si>
    <t xml:space="preserve">https://www.sttgdc.com/in-en/locations/ahmedabad</t>
  </si>
  <si>
    <t xml:space="preserve">STT Jaipur Edge</t>
  </si>
  <si>
    <t xml:space="preserve">Jaipur</t>
  </si>
  <si>
    <t xml:space="preserve">Rajasthan</t>
  </si>
  <si>
    <t xml:space="preserve">https://www.datacenterdynamics.com/en/news/stt-gdc-india-breaks-ground-on-edge-facility-in-jaipur-india/</t>
  </si>
  <si>
    <t xml:space="preserve">First STT edge</t>
  </si>
  <si>
    <t xml:space="preserve">NTT Mumbai 5 (Chandivali)</t>
  </si>
  <si>
    <t xml:space="preserve">NTT GDC India</t>
  </si>
  <si>
    <t xml:space="preserve">NTT Global Data Centers</t>
  </si>
  <si>
    <t xml:space="preserve">operational_critical</t>
  </si>
  <si>
    <t xml:space="preserve">https://services.global.ntt/en-us/services-and-products/global-data-centers/global-locations/india</t>
  </si>
  <si>
    <t xml:space="preserve">NTT Mumbai 6 (Andheri)</t>
  </si>
  <si>
    <t xml:space="preserve">NTT Mumbai 7 (Andheri)</t>
  </si>
  <si>
    <t xml:space="preserve">NTT Mumbai Vikhroli</t>
  </si>
  <si>
    <t xml:space="preserve">NTT Mumbai Vikhroli IV</t>
  </si>
  <si>
    <t xml:space="preserve">NTT Mumbai BSE</t>
  </si>
  <si>
    <t xml:space="preserve">NTT Navi Mumbai NAV1 (Mahape)</t>
  </si>
  <si>
    <t xml:space="preserve">https://services.global.ntt/en-us/services-and-products/global-data-centers/global-locations/india/navi-mumbai-data-center</t>
  </si>
  <si>
    <t xml:space="preserve">NTT NAV2 (new campus)</t>
  </si>
  <si>
    <t xml:space="preserve">https://www.datacenterdynamics.com/en/news/ntt-announces-500mw-nav2-data-center-in-navi-mumbai-india/</t>
  </si>
  <si>
    <t xml:space="preserve">500MW power/336 IT</t>
  </si>
  <si>
    <t xml:space="preserve">NTT Bengaluru 2 (Electronic City)</t>
  </si>
  <si>
    <t xml:space="preserve">NTT Bengaluru 3 (Bidrahalli)</t>
  </si>
  <si>
    <t xml:space="preserve">NTT Bengaluru 4 Campus</t>
  </si>
  <si>
    <t xml:space="preserve">Campus total</t>
  </si>
  <si>
    <t xml:space="preserve">NTT Chennai 1 (Velappanchavadi)</t>
  </si>
  <si>
    <t xml:space="preserve">NTT Chennai 2 (Ambattur)</t>
  </si>
  <si>
    <t xml:space="preserve">Per building</t>
  </si>
  <si>
    <t xml:space="preserve">NTT Noida 1</t>
  </si>
  <si>
    <t xml:space="preserve">NTT Noida 2 (Tech Zone IV)</t>
  </si>
  <si>
    <t xml:space="preserve">NTT Kolkata 1</t>
  </si>
  <si>
    <t xml:space="preserve">25+ MW</t>
  </si>
  <si>
    <t xml:space="preserve">Equinix MB1</t>
  </si>
  <si>
    <t xml:space="preserve">Equinix</t>
  </si>
  <si>
    <t xml:space="preserve">https://www.equinix.com/data-centers/asia-pacific-colocation/india-colocation/mumbai-data-centers/mb1</t>
  </si>
  <si>
    <t xml:space="preserve">Cabinets only disclosed</t>
  </si>
  <si>
    <t xml:space="preserve">Equinix MB2</t>
  </si>
  <si>
    <t xml:space="preserve">https://www.equinix.com/data-centers/asia-pacific-colocation/india-colocation/mumbai-data-centers/mb2</t>
  </si>
  <si>
    <t xml:space="preserve">Equinix MB3 (Chandivali)</t>
  </si>
  <si>
    <t xml:space="preserve">https://www.equinix.com/data-centers/asia-pacific-colocation/india-colocation/mumbai-data-centers/mb3</t>
  </si>
  <si>
    <t xml:space="preserve">5475+ cabinets</t>
  </si>
  <si>
    <t xml:space="preserve">Equinix MB4</t>
  </si>
  <si>
    <t xml:space="preserve">https://newsroom.equinix.com/2026-04-08-Equinix-Launches-Purpose-Built-IBX-Data-Center-in-Mumbai</t>
  </si>
  <si>
    <t xml:space="preserve">Launched Apr2026</t>
  </si>
  <si>
    <t xml:space="preserve">Colt Mumbai 1 (Dighe)</t>
  </si>
  <si>
    <t xml:space="preserve">Colt DCS</t>
  </si>
  <si>
    <t xml:space="preserve">https://www.coltdatacentres.net/en-GB/our-locations/data-centre-locations-asia/mumbai</t>
  </si>
  <si>
    <t xml:space="preserve">22MW combined M1+M2; campus planned 120-134MW</t>
  </si>
  <si>
    <t xml:space="preserve">Colt Mumbai 2 (Dighe)</t>
  </si>
  <si>
    <t xml:space="preserve">Counted in Mumbai1 combined</t>
  </si>
  <si>
    <t xml:space="preserve">Colt Chennai (Ambattur)</t>
  </si>
  <si>
    <t xml:space="preserve">https://www.coltdatacentres.net/en-GB/our-locations/data-centre-locations-asia/chennai</t>
  </si>
  <si>
    <t xml:space="preserve">Land acquired Mar2024</t>
  </si>
  <si>
    <t xml:space="preserve">PDG MU1</t>
  </si>
  <si>
    <t xml:space="preserve">Princeton Digital Group</t>
  </si>
  <si>
    <t xml:space="preserve">https://princetondg.com/newsroom/</t>
  </si>
  <si>
    <t xml:space="preserve">Expanding to 150MW</t>
  </si>
  <si>
    <t xml:space="preserve">PDG MU2</t>
  </si>
  <si>
    <t xml:space="preserve">https://w.media/pdg-breaks-ground-on-mu2-dc-campus-in-mumbai/</t>
  </si>
  <si>
    <t xml:space="preserve">Groundbreaking Apr2026</t>
  </si>
  <si>
    <t xml:space="preserve">PDG CH1</t>
  </si>
  <si>
    <t xml:space="preserve">https://www.datacenterdynamics.com/en/news/pdg-announces-1bn-india-expansion-in-mumbai-and-chennai/</t>
  </si>
  <si>
    <t xml:space="preserve">AWS Mumbai (ap-south-1)</t>
  </si>
  <si>
    <t xml:space="preserve">AWS</t>
  </si>
  <si>
    <t xml:space="preserve">AWS (hyperscale cloud region)</t>
  </si>
  <si>
    <t xml:space="preserve">region</t>
  </si>
  <si>
    <t xml:space="preserve">https://www.aboutamazon.in/news/aws/aws-invests-8-billion-in-maharashtra</t>
  </si>
  <si>
    <t xml:space="preserve">3 AZs; region-level not single facility</t>
  </si>
  <si>
    <t xml:space="preserve">AWS Hyderabad (ap-south-2)</t>
  </si>
  <si>
    <t xml:space="preserve">https://www.aboutamazon.in/news/aws/aws-data-centre-hyderabad</t>
  </si>
  <si>
    <t xml:space="preserve">3 AZs; $21B 2026-30</t>
  </si>
  <si>
    <t xml:space="preserve">Azure Central India</t>
  </si>
  <si>
    <t xml:space="preserve">Microsoft Azure</t>
  </si>
  <si>
    <t xml:space="preserve">Azure (hyperscale cloud region)</t>
  </si>
  <si>
    <t xml:space="preserve">https://news.microsoft.com/source/asia/features/microsofts-newest-india-datacenter-region-goes-live/</t>
  </si>
  <si>
    <t xml:space="preserve">Azure South India</t>
  </si>
  <si>
    <t xml:space="preserve">Azure West India</t>
  </si>
  <si>
    <t xml:space="preserve">Azure India South Central</t>
  </si>
  <si>
    <t xml:space="preserve">Opened Aug2026; 110 acres</t>
  </si>
  <si>
    <t xml:space="preserve">Google Cloud asia-south1</t>
  </si>
  <si>
    <t xml:space="preserve">Google Cloud</t>
  </si>
  <si>
    <t xml:space="preserve">Google Cloud (hyperscale region)</t>
  </si>
  <si>
    <t xml:space="preserve">https://cloud.google.com/blog/products/gcp/gcp-arrives-in-india-with-launch-of-mumbai-region</t>
  </si>
  <si>
    <t xml:space="preserve">Google Cloud asia-south2</t>
  </si>
  <si>
    <t xml:space="preserve">Delhi NCR</t>
  </si>
  <si>
    <t xml:space="preserve">https://cloud.google.com/blog/products/infrastructure/google-cloud-region-in-delhi-ncr-is-now-open</t>
  </si>
  <si>
    <t xml:space="preserve">3 zones</t>
  </si>
  <si>
    <t xml:space="preserve">Oracle OCI India West</t>
  </si>
  <si>
    <t xml:space="preserve">Oracle Cloud</t>
  </si>
  <si>
    <t xml:space="preserve">Oracle (hyperscale cloud region)</t>
  </si>
  <si>
    <t xml:space="preserve">https://www.oracle.com/in/cloud/public-cloud-regions/</t>
  </si>
  <si>
    <t xml:space="preserve">Oracle OCI India South</t>
  </si>
  <si>
    <t xml:space="preserve">https://www.oracle.com/in/corporate/pressrelease/oracle-opens-second-cloud-region-2020-06-29.html</t>
  </si>
  <si>
    <t xml:space="preserve">CapitaLand Chennai DC (Ambattur)</t>
  </si>
  <si>
    <t xml:space="preserve">CapitaLand/Ascendas</t>
  </si>
  <si>
    <t xml:space="preserve">https://www.datacenterdynamics.com/en/news/capitaland-planning-55mw-data-center-in-chennai-india/</t>
  </si>
  <si>
    <t xml:space="preserve">CapitaLand Mumbai (3-DC stake)</t>
  </si>
  <si>
    <t xml:space="preserve">https://www.capitaland.com/</t>
  </si>
  <si>
    <t xml:space="preserve">20.2% stake in 3 DCs</t>
  </si>
  <si>
    <t xml:space="preserve">Bridge Data Centres BBY01</t>
  </si>
  <si>
    <t xml:space="preserve">Bridge Data Centres</t>
  </si>
  <si>
    <t xml:space="preserve">https://www.datacentermap.com/india/navi-mumbai/bdc-bby01/</t>
  </si>
  <si>
    <t xml:space="preserve">Bain Capital</t>
  </si>
  <si>
    <t xml:space="preserve">Lumina CloudInfra Airoli</t>
  </si>
  <si>
    <t xml:space="preserve">Lumina CloudInfra</t>
  </si>
  <si>
    <t xml:space="preserve">Lumina CloudInfra (AirTrunk)</t>
  </si>
  <si>
    <t xml:space="preserve">https://www.datacenterdynamics.com/en/news/blackstone-backed-lumina-cloudinfra-breaks-ground-on-60mw-data-center-campus-in-navi-mumbai-india/</t>
  </si>
  <si>
    <t xml:space="preserve">RackBank Indore DC</t>
  </si>
  <si>
    <t xml:space="preserve">RackBank</t>
  </si>
  <si>
    <t xml:space="preserve">Indore</t>
  </si>
  <si>
    <t xml:space="preserve">https://www.datacenterdynamics.com/en/news/rackbank-announces-80mw-madya-pradesh-data-center-in-india/</t>
  </si>
  <si>
    <t xml:space="preserve">4x20MW phases</t>
  </si>
  <si>
    <t xml:space="preserve">L&amp;T Cloudfiniti (Mumbai/Chennai)</t>
  </si>
  <si>
    <t xml:space="preserve">L&amp;T Cloudfiniti</t>
  </si>
  <si>
    <t xml:space="preserve">Larsen &amp; Toubro</t>
  </si>
  <si>
    <t xml:space="preserve">https://india.entrepreneur.com/technology/lt-cloudfiniti-aims-to-scale-up-data-center-capacity-to-90/490311</t>
  </si>
  <si>
    <t xml:space="preserve">30MW now to 90MW by end-2026</t>
  </si>
  <si>
    <t xml:space="preserve">Anant Raj Cloud (Panchkula)</t>
  </si>
  <si>
    <t xml:space="preserve">Anant Raj</t>
  </si>
  <si>
    <t xml:space="preserve">Panchkula</t>
  </si>
  <si>
    <t xml:space="preserve">https://apacnewsnetwork.com/2025/07/anant-raj-adds-7-mw-data-center-in-panchkula/</t>
  </si>
  <si>
    <t xml:space="preserve">Target 310MW by 2032</t>
  </si>
  <si>
    <t xml:space="preserve">Blackstone-Panchshil Campus</t>
  </si>
  <si>
    <t xml:space="preserve">Blackstone/Panchshil</t>
  </si>
  <si>
    <t xml:space="preserve">https://www.datacenterdynamics.com/en/news/blackstone-and-panchshil-realty-to-build-indias-largest-ai-data-center-campus/</t>
  </si>
  <si>
    <t xml:space="preserve">Cyfuture Noida DC</t>
  </si>
  <si>
    <t xml:space="preserve">Cyfuture</t>
  </si>
  <si>
    <t xml:space="preserve">https://www.datacentermap.com/india/noida/cyfuture/</t>
  </si>
  <si>
    <t xml:space="preserve">Also Jaipur, Raipur</t>
  </si>
  <si>
    <t xml:space="preserve">Mapletree Mumbai (rumored)</t>
  </si>
  <si>
    <t xml:space="preserve">Mapletree</t>
  </si>
  <si>
    <t xml:space="preserve">https://thetechcapital.com/mapletree-weighs-india-data-centre-entry-with-400mw-in-mumbai/</t>
  </si>
  <si>
    <t xml:space="preserve">Unconfirmed by Mapletree</t>
  </si>
  <si>
    <t xml:space="preserve">EverYondr (Yondr+Everstone)</t>
  </si>
  <si>
    <t xml:space="preserve">EverYondr</t>
  </si>
  <si>
    <t xml:space="preserve">Yondr/Everstone JV</t>
  </si>
  <si>
    <t xml:space="preserve">https://www.datacenterdynamics.com/en/news/yondr-forms-1-billion-joint-venture-with-everstone/</t>
  </si>
  <si>
    <t xml:space="preserve">2021 baseline</t>
  </si>
  <si>
    <t xml:space="preserve">Lodha Green DC Park (Palava)</t>
  </si>
  <si>
    <t xml:space="preserve">Lodha (landlord)</t>
  </si>
  <si>
    <t xml:space="preserve">Lodha Developers</t>
  </si>
  <si>
    <t xml:space="preserve">Palava</t>
  </si>
  <si>
    <t xml:space="preserve">https://www.lodhagroup.com/news/lodha-developers-to-invest-rs-1-3-lakh-crore-for-data-centre-park-mumbai</t>
  </si>
  <si>
    <t xml:space="preserve">Landlord not operator; avoid double-count tenants</t>
  </si>
  <si>
    <t xml:space="preserve">Digital Edge Navi Mumbai BOM1</t>
  </si>
  <si>
    <t xml:space="preserve">Digital Edge</t>
  </si>
  <si>
    <t xml:space="preserve">Digital Edge DC</t>
  </si>
  <si>
    <t xml:space="preserve">https://www.datacenterdynamics.com/en/news/digital-edge-breaks-ground-on-navi-mumbai-campus-in-india/</t>
  </si>
  <si>
    <t xml:space="preserve">47 acres</t>
  </si>
  <si>
    <t xml:space="preserve">SLG Capital Noida DC</t>
  </si>
  <si>
    <t xml:space="preserve">SLG Capital</t>
  </si>
  <si>
    <t xml:space="preserve">https://w.media/uttar-pradesh-singapores-slg-capital-sign-1b-agreement/</t>
  </si>
  <si>
    <t xml:space="preserve">$1B pact</t>
  </si>
  <si>
    <t xml:space="preserve">Techno Digital Chennai DC</t>
  </si>
  <si>
    <t xml:space="preserve">Techno Digital</t>
  </si>
  <si>
    <t xml:space="preserve">Techno Electric</t>
  </si>
  <si>
    <t xml:space="preserve">https://datacentremagazine.com/news/techno-digital-launches-ai-ready-36-mw-chennai-data-centre</t>
  </si>
  <si>
    <t xml:space="preserve">Part of 250MW plan</t>
  </si>
  <si>
    <t xml:space="preserve">India Datacenter Facilities — Coverage Summary (v0)</t>
  </si>
  <si>
    <t xml:space="preserve">Assembled 2026-09-14 from operator disclosures + trade press + public directories (4 parallel web sweeps). Counts/sums are live formulas over the Facilities tab.</t>
  </si>
  <si>
    <t xml:space="preserve">Counts by status</t>
  </si>
  <si>
    <t xml:space="preserve">Total rows in dataset</t>
  </si>
  <si>
    <t xml:space="preserve">  Operational</t>
  </si>
  <si>
    <t xml:space="preserve">  Under-construction</t>
  </si>
  <si>
    <t xml:space="preserve">  Announced</t>
  </si>
  <si>
    <t xml:space="preserve">  Uncertain</t>
  </si>
  <si>
    <t xml:space="preserve">Rows with a disclosed MW figure</t>
  </si>
  <si>
    <t xml:space="preserve">Disclosed capacity (MW)</t>
  </si>
  <si>
    <t xml:space="preserve">Operational disclosed MW (IT/critical/total/combined)</t>
  </si>
  <si>
    <t xml:space="preserve">  of which Operational IT-only MW</t>
  </si>
  <si>
    <t xml:space="preserve">  of which Operational critical-IT MW</t>
  </si>
  <si>
    <t xml:space="preserve">Announced/under-construction pipeline MW (planned)</t>
  </si>
  <si>
    <t xml:space="preserve">Facilities by CEA grid region (excl. cloud regions/parks)</t>
  </si>
  <si>
    <t xml:space="preserve">  Western (MH/GJ/MP)</t>
  </si>
  <si>
    <t xml:space="preserve">  Southern (TN/TG/KA/AP/KL)</t>
  </si>
  <si>
    <t xml:space="preserve">  Northern (UP/DL/HR/RJ/PB/CH)</t>
  </si>
  <si>
    <t xml:space="preserve">  Eastern (WB/BR/OD)</t>
  </si>
  <si>
    <t xml:space="preserve">  North-Eastern (AS)</t>
  </si>
  <si>
    <t xml:space="preserve">Rows by operator family (top operators)</t>
  </si>
  <si>
    <t xml:space="preserve">  STT GDC India</t>
  </si>
  <si>
    <t xml:space="preserve">  Nxtra by Airtel</t>
  </si>
  <si>
    <t xml:space="preserve">  CtrlS</t>
  </si>
  <si>
    <t xml:space="preserve">  NTT Global Data Centers</t>
  </si>
  <si>
    <t xml:space="preserve">  Sify</t>
  </si>
  <si>
    <t xml:space="preserve">  Web Werks / Iron Mountain JV</t>
  </si>
  <si>
    <t xml:space="preserve">Cloud regions (region-level, not single facilities)</t>
  </si>
  <si>
    <t xml:space="preserve">India Datacenter Facilities v0 — method, dedup rules &amp; caveats</t>
  </si>
  <si>
    <t xml:space="preserve">What this is</t>
  </si>
  <si>
    <t xml:space="preserve">A first, openly-sourced, facility-level list of India datacenters, assembled 2026-09-14 from operator websites, trade press (DataCenterDynamics, w.media), and public directories (DataCenterMap, Baxtel). Every row carries its source_url and a confidence flag. This is the DERIVE facility layer for the paper's S0 join — a curated set, disclosed as such, NOT a purchased commercial dataset.</t>
  </si>
  <si>
    <t xml:space="preserve">Deduplication rules applied</t>
  </si>
  <si>
    <t xml:space="preserve">Web Werks = Iron Mountain: the Web Werks facilities and Iron Mountain India are the SAME JV; listed once under Iron Mountain branding.</t>
  </si>
  <si>
    <t xml:space="preserve">Digital Connexion = Digital Realty + Brookfield + Reliance/Jio: listed once under 'Digital Connexion'; may appear elsewhere under Digital Realty.</t>
  </si>
  <si>
    <t xml:space="preserve">Google Vizag = AdaniConneX Vizag: the same campus (Google $15B + AdaniConneX build); listed once (AdaniConneX row), not double-counted under Google.</t>
  </si>
  <si>
    <t xml:space="preserve">Meta Jamnagar = Reliance Jamnagar: Meta leases capacity in Reliance's Jamnagar campus; listed once (Reliance row).</t>
  </si>
  <si>
    <t xml:space="preserve">Tata Communications legacy sites = STT GDC India: the former Tata Comms DC business is now STT GDC India; only the authoritative STT GDC rows are kept; the legacy directory rows were dropped.</t>
  </si>
  <si>
    <t xml:space="preserve">TCS HyperVault (OpenAI partner) is a DISTINCT Tata Group entity from STT GDC — kept as one separate announced row.</t>
  </si>
  <si>
    <t xml:space="preserve">Capacity caveats (read before summing)</t>
  </si>
  <si>
    <t xml:space="preserve">capacity_basis tags what each MW figure means: operational_IT / operational_critical / operational_total / combined / planned / region / park / edge / estimate.</t>
  </si>
  <si>
    <t xml:space="preserve">The 'Operational disclosed MW' figure mixes IT, critical-IT and total-facility bases (operators disclose different things) — it is an APPROXIMATE floor of currently-live capacity, not a single clean metric. IT-only and critical-only sub-totals are given separately.</t>
  </si>
  <si>
    <t xml:space="preserve">Combined-campus figures (e.g. CtrlS DC1/DC2 = 40MW, Colt Mumbai1+2 = 22MW) are placed on ONE row with the paired row left blank, to avoid double counting.</t>
  </si>
  <si>
    <t xml:space="preserve">Cloud regions (AWS/Azure/Google/Oracle) are region-level, NOT single facilities — excluded from facility counts and MW sums; kept for geographic context.</t>
  </si>
  <si>
    <t xml:space="preserve">Lodha Palava is a 2.5GW data-center PARK (landlord), not an operator facility — do not sum its MW with tenant facilities (STT/AWS lease there).</t>
  </si>
  <si>
    <t xml:space="preserve">Known gaps / to verify next</t>
  </si>
  <si>
    <t xml:space="preserve">Per-facility lat/lon is not yet attached — cities/areas are captured; geocode to point coordinates for the S0 join.</t>
  </si>
  <si>
    <t xml:space="preserve">'unknown' capacity rows (many colo/edge sites) need capacity from directory rack-counts or operator confirmation.</t>
  </si>
  <si>
    <t xml:space="preserve">A long tail of ~15-20 small operators (from Arizton's paid teaser) is NOT included — unverified.</t>
  </si>
  <si>
    <t xml:space="preserve">Aggregate cross-checks (for coverage %): DataCenterMap ~303-305 facilities; CEEW (Jan 2026) ~271 DCs / ~1.5GW; Savills ~1.5GW operational end-2025; CBRE ~1,700MW operational end-2025; Arizton 142 existing + 110 upcoming.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</si>
</sst>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F4E5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  <fill>
      <patternFill patternType="solid">
        <fgColor rgb="FFE2EFDA"/>
        <bgColor rgb="FFD6E4EA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F2F2F2"/>
        <bgColor rgb="FFE2EFDA"/>
      </patternFill>
    </fill>
    <fill>
      <patternFill patternType="solid">
        <fgColor rgb="FFD6E4EA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4E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6E4E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9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0"/>
    <col collapsed="false" customWidth="true" hidden="false" outlineLevel="0" max="3" min="3" style="0" width="26"/>
    <col collapsed="false" customWidth="true" hidden="false" outlineLevel="0" max="4" min="4" style="0" width="14"/>
    <col collapsed="false" customWidth="true" hidden="false" outlineLevel="0" max="5" min="5" style="0" width="15"/>
    <col collapsed="false" customWidth="true" hidden="false" outlineLevel="0" max="6" min="6" style="0" width="13"/>
    <col collapsed="false" customWidth="true" hidden="false" outlineLevel="0" max="7" min="7" style="0" width="11"/>
    <col collapsed="false" customWidth="true" hidden="false" outlineLevel="0" max="9" min="8" style="0" width="17"/>
    <col collapsed="false" customWidth="true" hidden="false" outlineLevel="0" max="11" min="10" style="0" width="11"/>
    <col collapsed="false" customWidth="true" hidden="false" outlineLevel="0" max="12" min="12" style="0" width="44"/>
    <col collapsed="false" customWidth="true" hidden="false" outlineLevel="0" max="13" min="13" style="0" width="40"/>
    <col collapsed="false" customWidth="true" hidden="false" outlineLevel="0" max="14" min="14" style="0" width="13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s">
        <v>14</v>
      </c>
      <c r="B2" s="3" t="s">
        <v>15</v>
      </c>
      <c r="C2" s="3" t="s">
        <v>15</v>
      </c>
      <c r="D2" s="3" t="s">
        <v>16</v>
      </c>
      <c r="E2" s="3" t="s">
        <v>17</v>
      </c>
      <c r="F2" s="3" t="s">
        <v>18</v>
      </c>
      <c r="G2" s="3" t="n">
        <v>40</v>
      </c>
      <c r="H2" s="3" t="s">
        <v>19</v>
      </c>
      <c r="I2" s="4" t="s">
        <v>20</v>
      </c>
      <c r="J2" s="3"/>
      <c r="K2" s="3" t="s">
        <v>21</v>
      </c>
      <c r="L2" s="3" t="s">
        <v>22</v>
      </c>
      <c r="M2" s="2" t="s">
        <v>23</v>
      </c>
      <c r="N2" s="3" t="n">
        <f aca="false">IF(AND(I2="Operational",OR(H2="operational_IT",H2="operational_critical",H2="operational_total",H2="combined")),G2,"")</f>
        <v>40</v>
      </c>
    </row>
    <row r="3" customFormat="false" ht="15" hidden="false" customHeight="false" outlineLevel="0" collapsed="false">
      <c r="A3" s="2" t="s">
        <v>24</v>
      </c>
      <c r="B3" s="3" t="s">
        <v>15</v>
      </c>
      <c r="C3" s="3" t="s">
        <v>15</v>
      </c>
      <c r="D3" s="3" t="s">
        <v>16</v>
      </c>
      <c r="E3" s="3" t="s">
        <v>17</v>
      </c>
      <c r="F3" s="3" t="s">
        <v>18</v>
      </c>
      <c r="G3" s="3" t="n">
        <v>10</v>
      </c>
      <c r="H3" s="3" t="s">
        <v>25</v>
      </c>
      <c r="I3" s="4" t="s">
        <v>20</v>
      </c>
      <c r="J3" s="3"/>
      <c r="K3" s="3" t="s">
        <v>21</v>
      </c>
      <c r="L3" s="3" t="s">
        <v>22</v>
      </c>
      <c r="M3" s="2"/>
      <c r="N3" s="3" t="n">
        <f aca="false">IF(AND(I3="Operational",OR(H3="operational_IT",H3="operational_critical",H3="operational_total",H3="combined")),G3,"")</f>
        <v>10</v>
      </c>
    </row>
    <row r="4" customFormat="false" ht="15" hidden="false" customHeight="false" outlineLevel="0" collapsed="false">
      <c r="A4" s="2" t="s">
        <v>26</v>
      </c>
      <c r="B4" s="3" t="s">
        <v>15</v>
      </c>
      <c r="C4" s="3" t="s">
        <v>15</v>
      </c>
      <c r="D4" s="3" t="s">
        <v>16</v>
      </c>
      <c r="E4" s="3" t="s">
        <v>17</v>
      </c>
      <c r="F4" s="3" t="s">
        <v>18</v>
      </c>
      <c r="G4" s="3" t="n">
        <v>36.8</v>
      </c>
      <c r="H4" s="3" t="s">
        <v>25</v>
      </c>
      <c r="I4" s="4" t="s">
        <v>20</v>
      </c>
      <c r="J4" s="3" t="n">
        <v>265000</v>
      </c>
      <c r="K4" s="3" t="s">
        <v>27</v>
      </c>
      <c r="L4" s="3" t="s">
        <v>28</v>
      </c>
      <c r="M4" s="2" t="s">
        <v>29</v>
      </c>
      <c r="N4" s="3" t="n">
        <f aca="false">IF(AND(I4="Operational",OR(H4="operational_IT",H4="operational_critical",H4="operational_total",H4="combined")),G4,"")</f>
        <v>36.8</v>
      </c>
    </row>
    <row r="5" customFormat="false" ht="15" hidden="false" customHeight="false" outlineLevel="0" collapsed="false">
      <c r="A5" s="2" t="s">
        <v>30</v>
      </c>
      <c r="B5" s="3" t="s">
        <v>15</v>
      </c>
      <c r="C5" s="3" t="s">
        <v>15</v>
      </c>
      <c r="D5" s="3" t="s">
        <v>16</v>
      </c>
      <c r="E5" s="3" t="s">
        <v>17</v>
      </c>
      <c r="F5" s="3" t="s">
        <v>18</v>
      </c>
      <c r="G5" s="3" t="n">
        <v>32</v>
      </c>
      <c r="H5" s="3" t="s">
        <v>25</v>
      </c>
      <c r="I5" s="4" t="s">
        <v>20</v>
      </c>
      <c r="J5" s="3" t="n">
        <v>228482</v>
      </c>
      <c r="K5" s="3" t="s">
        <v>27</v>
      </c>
      <c r="L5" s="3" t="s">
        <v>28</v>
      </c>
      <c r="M5" s="2" t="s">
        <v>31</v>
      </c>
      <c r="N5" s="3" t="n">
        <f aca="false">IF(AND(I5="Operational",OR(H5="operational_IT",H5="operational_critical",H5="operational_total",H5="combined")),G5,"")</f>
        <v>32</v>
      </c>
    </row>
    <row r="6" customFormat="false" ht="15" hidden="false" customHeight="false" outlineLevel="0" collapsed="false">
      <c r="A6" s="2" t="s">
        <v>32</v>
      </c>
      <c r="B6" s="3" t="s">
        <v>15</v>
      </c>
      <c r="C6" s="3" t="s">
        <v>15</v>
      </c>
      <c r="D6" s="3" t="s">
        <v>33</v>
      </c>
      <c r="E6" s="3" t="s">
        <v>17</v>
      </c>
      <c r="F6" s="3" t="s">
        <v>18</v>
      </c>
      <c r="G6" s="3" t="n">
        <v>95</v>
      </c>
      <c r="H6" s="3" t="s">
        <v>34</v>
      </c>
      <c r="I6" s="5" t="s">
        <v>35</v>
      </c>
      <c r="J6" s="3"/>
      <c r="K6" s="3" t="s">
        <v>21</v>
      </c>
      <c r="L6" s="3" t="s">
        <v>22</v>
      </c>
      <c r="M6" s="2" t="s">
        <v>36</v>
      </c>
      <c r="N6" s="3" t="str">
        <f aca="false">IF(AND(I6="Operational",OR(H6="operational_IT",H6="operational_critical",H6="operational_total",H6="combined")),G6,"")</f>
        <v/>
      </c>
    </row>
    <row r="7" customFormat="false" ht="15" hidden="false" customHeight="false" outlineLevel="0" collapsed="false">
      <c r="A7" s="2" t="s">
        <v>37</v>
      </c>
      <c r="B7" s="3" t="s">
        <v>15</v>
      </c>
      <c r="C7" s="3" t="s">
        <v>15</v>
      </c>
      <c r="D7" s="3" t="s">
        <v>38</v>
      </c>
      <c r="E7" s="3" t="s">
        <v>39</v>
      </c>
      <c r="F7" s="3" t="s">
        <v>40</v>
      </c>
      <c r="G7" s="3" t="n">
        <v>6</v>
      </c>
      <c r="H7" s="3" t="s">
        <v>25</v>
      </c>
      <c r="I7" s="4" t="s">
        <v>20</v>
      </c>
      <c r="J7" s="3" t="n">
        <v>191749</v>
      </c>
      <c r="K7" s="3" t="s">
        <v>21</v>
      </c>
      <c r="L7" s="3" t="s">
        <v>22</v>
      </c>
      <c r="M7" s="2"/>
      <c r="N7" s="3" t="n">
        <f aca="false">IF(AND(I7="Operational",OR(H7="operational_IT",H7="operational_critical",H7="operational_total",H7="combined")),G7,"")</f>
        <v>6</v>
      </c>
    </row>
    <row r="8" customFormat="false" ht="15" hidden="false" customHeight="false" outlineLevel="0" collapsed="false">
      <c r="A8" s="2" t="s">
        <v>41</v>
      </c>
      <c r="B8" s="3" t="s">
        <v>15</v>
      </c>
      <c r="C8" s="3" t="s">
        <v>15</v>
      </c>
      <c r="D8" s="3" t="s">
        <v>38</v>
      </c>
      <c r="E8" s="3" t="s">
        <v>39</v>
      </c>
      <c r="F8" s="3" t="s">
        <v>40</v>
      </c>
      <c r="G8" s="3" t="n">
        <v>7.4</v>
      </c>
      <c r="H8" s="3" t="s">
        <v>25</v>
      </c>
      <c r="I8" s="4" t="s">
        <v>20</v>
      </c>
      <c r="J8" s="3" t="n">
        <v>82262</v>
      </c>
      <c r="K8" s="3" t="s">
        <v>21</v>
      </c>
      <c r="L8" s="3" t="s">
        <v>22</v>
      </c>
      <c r="M8" s="2"/>
      <c r="N8" s="3" t="n">
        <f aca="false">IF(AND(I8="Operational",OR(H8="operational_IT",H8="operational_critical",H8="operational_total",H8="combined")),G8,"")</f>
        <v>7.4</v>
      </c>
    </row>
    <row r="9" customFormat="false" ht="15" hidden="false" customHeight="false" outlineLevel="0" collapsed="false">
      <c r="A9" s="2" t="s">
        <v>42</v>
      </c>
      <c r="B9" s="3" t="s">
        <v>15</v>
      </c>
      <c r="C9" s="3" t="s">
        <v>15</v>
      </c>
      <c r="D9" s="3" t="s">
        <v>38</v>
      </c>
      <c r="E9" s="3" t="s">
        <v>39</v>
      </c>
      <c r="F9" s="3" t="s">
        <v>40</v>
      </c>
      <c r="G9" s="3" t="n">
        <v>13</v>
      </c>
      <c r="H9" s="3" t="s">
        <v>25</v>
      </c>
      <c r="I9" s="4" t="s">
        <v>20</v>
      </c>
      <c r="J9" s="3" t="n">
        <v>130000</v>
      </c>
      <c r="K9" s="3" t="s">
        <v>21</v>
      </c>
      <c r="L9" s="3" t="s">
        <v>22</v>
      </c>
      <c r="M9" s="2"/>
      <c r="N9" s="3" t="n">
        <f aca="false">IF(AND(I9="Operational",OR(H9="operational_IT",H9="operational_critical",H9="operational_total",H9="combined")),G9,"")</f>
        <v>13</v>
      </c>
    </row>
    <row r="10" customFormat="false" ht="15" hidden="false" customHeight="false" outlineLevel="0" collapsed="false">
      <c r="A10" s="2" t="s">
        <v>43</v>
      </c>
      <c r="B10" s="3" t="s">
        <v>15</v>
      </c>
      <c r="C10" s="3" t="s">
        <v>15</v>
      </c>
      <c r="D10" s="3" t="s">
        <v>38</v>
      </c>
      <c r="E10" s="3" t="s">
        <v>39</v>
      </c>
      <c r="F10" s="3" t="s">
        <v>40</v>
      </c>
      <c r="G10" s="3"/>
      <c r="H10" s="3" t="s">
        <v>34</v>
      </c>
      <c r="I10" s="6" t="s">
        <v>44</v>
      </c>
      <c r="J10" s="3" t="n">
        <v>1612700</v>
      </c>
      <c r="K10" s="3" t="s">
        <v>45</v>
      </c>
      <c r="L10" s="3" t="s">
        <v>46</v>
      </c>
      <c r="M10" s="2" t="s">
        <v>47</v>
      </c>
      <c r="N10" s="3" t="str">
        <f aca="false">IF(AND(I10="Operational",OR(H10="operational_IT",H10="operational_critical",H10="operational_total",H10="combined")),G10,"")</f>
        <v/>
      </c>
    </row>
    <row r="11" customFormat="false" ht="15" hidden="false" customHeight="false" outlineLevel="0" collapsed="false">
      <c r="A11" s="2" t="s">
        <v>48</v>
      </c>
      <c r="B11" s="3" t="s">
        <v>15</v>
      </c>
      <c r="C11" s="3" t="s">
        <v>15</v>
      </c>
      <c r="D11" s="3" t="s">
        <v>49</v>
      </c>
      <c r="E11" s="3" t="s">
        <v>50</v>
      </c>
      <c r="F11" s="3" t="s">
        <v>40</v>
      </c>
      <c r="G11" s="3"/>
      <c r="H11" s="3" t="s">
        <v>51</v>
      </c>
      <c r="I11" s="4" t="s">
        <v>20</v>
      </c>
      <c r="J11" s="3" t="n">
        <v>290000</v>
      </c>
      <c r="K11" s="3" t="s">
        <v>21</v>
      </c>
      <c r="L11" s="3" t="s">
        <v>28</v>
      </c>
      <c r="M11" s="2"/>
      <c r="N11" s="3" t="str">
        <f aca="false">IF(AND(I11="Operational",OR(H11="operational_IT",H11="operational_critical",H11="operational_total",H11="combined")),G11,"")</f>
        <v/>
      </c>
    </row>
    <row r="12" customFormat="false" ht="15" hidden="false" customHeight="false" outlineLevel="0" collapsed="false">
      <c r="A12" s="2" t="s">
        <v>52</v>
      </c>
      <c r="B12" s="3" t="s">
        <v>15</v>
      </c>
      <c r="C12" s="3" t="s">
        <v>15</v>
      </c>
      <c r="D12" s="3" t="s">
        <v>49</v>
      </c>
      <c r="E12" s="3" t="s">
        <v>50</v>
      </c>
      <c r="F12" s="3" t="s">
        <v>40</v>
      </c>
      <c r="G12" s="3"/>
      <c r="H12" s="3" t="s">
        <v>53</v>
      </c>
      <c r="I12" s="4" t="s">
        <v>20</v>
      </c>
      <c r="J12" s="3" t="n">
        <v>1000000</v>
      </c>
      <c r="K12" s="3" t="s">
        <v>21</v>
      </c>
      <c r="L12" s="3" t="s">
        <v>28</v>
      </c>
      <c r="M12" s="2" t="s">
        <v>54</v>
      </c>
      <c r="N12" s="3" t="str">
        <f aca="false">IF(AND(I12="Operational",OR(H12="operational_IT",H12="operational_critical",H12="operational_total",H12="combined")),G12,"")</f>
        <v/>
      </c>
    </row>
    <row r="13" customFormat="false" ht="15" hidden="false" customHeight="false" outlineLevel="0" collapsed="false">
      <c r="A13" s="2" t="s">
        <v>55</v>
      </c>
      <c r="B13" s="3" t="s">
        <v>15</v>
      </c>
      <c r="C13" s="3" t="s">
        <v>15</v>
      </c>
      <c r="D13" s="3" t="s">
        <v>49</v>
      </c>
      <c r="E13" s="3" t="s">
        <v>50</v>
      </c>
      <c r="F13" s="3" t="s">
        <v>40</v>
      </c>
      <c r="G13" s="3"/>
      <c r="H13" s="3" t="s">
        <v>51</v>
      </c>
      <c r="I13" s="6" t="s">
        <v>44</v>
      </c>
      <c r="J13" s="3"/>
      <c r="K13" s="3" t="s">
        <v>45</v>
      </c>
      <c r="L13" s="3" t="s">
        <v>28</v>
      </c>
      <c r="M13" s="2" t="s">
        <v>56</v>
      </c>
      <c r="N13" s="3" t="str">
        <f aca="false">IF(AND(I13="Operational",OR(H13="operational_IT",H13="operational_critical",H13="operational_total",H13="combined")),G13,"")</f>
        <v/>
      </c>
    </row>
    <row r="14" customFormat="false" ht="15" hidden="false" customHeight="false" outlineLevel="0" collapsed="false">
      <c r="A14" s="2" t="s">
        <v>57</v>
      </c>
      <c r="B14" s="3" t="s">
        <v>15</v>
      </c>
      <c r="C14" s="3" t="s">
        <v>15</v>
      </c>
      <c r="D14" s="3" t="s">
        <v>58</v>
      </c>
      <c r="E14" s="3" t="s">
        <v>59</v>
      </c>
      <c r="F14" s="3" t="s">
        <v>60</v>
      </c>
      <c r="G14" s="3"/>
      <c r="H14" s="3" t="s">
        <v>51</v>
      </c>
      <c r="I14" s="4" t="s">
        <v>20</v>
      </c>
      <c r="J14" s="3"/>
      <c r="K14" s="3" t="s">
        <v>21</v>
      </c>
      <c r="L14" s="3" t="s">
        <v>61</v>
      </c>
      <c r="M14" s="2"/>
      <c r="N14" s="3" t="str">
        <f aca="false">IF(AND(I14="Operational",OR(H14="operational_IT",H14="operational_critical",H14="operational_total",H14="combined")),G14,"")</f>
        <v/>
      </c>
    </row>
    <row r="15" customFormat="false" ht="15" hidden="false" customHeight="false" outlineLevel="0" collapsed="false">
      <c r="A15" s="2" t="s">
        <v>62</v>
      </c>
      <c r="B15" s="3" t="s">
        <v>15</v>
      </c>
      <c r="C15" s="3" t="s">
        <v>15</v>
      </c>
      <c r="D15" s="3" t="s">
        <v>63</v>
      </c>
      <c r="E15" s="3" t="s">
        <v>64</v>
      </c>
      <c r="F15" s="3" t="s">
        <v>40</v>
      </c>
      <c r="G15" s="3"/>
      <c r="H15" s="3" t="s">
        <v>51</v>
      </c>
      <c r="I15" s="4" t="s">
        <v>20</v>
      </c>
      <c r="J15" s="3"/>
      <c r="K15" s="3" t="s">
        <v>21</v>
      </c>
      <c r="L15" s="3" t="s">
        <v>65</v>
      </c>
      <c r="M15" s="2"/>
      <c r="N15" s="3" t="str">
        <f aca="false">IF(AND(I15="Operational",OR(H15="operational_IT",H15="operational_critical",H15="operational_total",H15="combined")),G15,"")</f>
        <v/>
      </c>
    </row>
    <row r="16" customFormat="false" ht="15" hidden="false" customHeight="false" outlineLevel="0" collapsed="false">
      <c r="A16" s="2" t="s">
        <v>66</v>
      </c>
      <c r="B16" s="3" t="s">
        <v>15</v>
      </c>
      <c r="C16" s="3" t="s">
        <v>15</v>
      </c>
      <c r="D16" s="3" t="s">
        <v>67</v>
      </c>
      <c r="E16" s="3" t="s">
        <v>68</v>
      </c>
      <c r="F16" s="3" t="s">
        <v>69</v>
      </c>
      <c r="G16" s="3"/>
      <c r="H16" s="3" t="s">
        <v>51</v>
      </c>
      <c r="I16" s="4" t="s">
        <v>20</v>
      </c>
      <c r="J16" s="3"/>
      <c r="K16" s="3" t="s">
        <v>21</v>
      </c>
      <c r="L16" s="3" t="s">
        <v>70</v>
      </c>
      <c r="M16" s="2"/>
      <c r="N16" s="3" t="str">
        <f aca="false">IF(AND(I16="Operational",OR(H16="operational_IT",H16="operational_critical",H16="operational_total",H16="combined")),G16,"")</f>
        <v/>
      </c>
    </row>
    <row r="17" customFormat="false" ht="15" hidden="false" customHeight="false" outlineLevel="0" collapsed="false">
      <c r="A17" s="2" t="s">
        <v>71</v>
      </c>
      <c r="B17" s="3" t="s">
        <v>15</v>
      </c>
      <c r="C17" s="3" t="s">
        <v>15</v>
      </c>
      <c r="D17" s="3" t="s">
        <v>67</v>
      </c>
      <c r="E17" s="3" t="s">
        <v>68</v>
      </c>
      <c r="F17" s="3" t="s">
        <v>69</v>
      </c>
      <c r="G17" s="3" t="n">
        <v>60</v>
      </c>
      <c r="H17" s="3" t="s">
        <v>34</v>
      </c>
      <c r="I17" s="6" t="s">
        <v>44</v>
      </c>
      <c r="J17" s="3"/>
      <c r="K17" s="3" t="s">
        <v>21</v>
      </c>
      <c r="L17" s="3" t="s">
        <v>72</v>
      </c>
      <c r="M17" s="2" t="s">
        <v>73</v>
      </c>
      <c r="N17" s="3" t="str">
        <f aca="false">IF(AND(I17="Operational",OR(H17="operational_IT",H17="operational_critical",H17="operational_total",H17="combined")),G17,"")</f>
        <v/>
      </c>
    </row>
    <row r="18" customFormat="false" ht="15" hidden="false" customHeight="false" outlineLevel="0" collapsed="false">
      <c r="A18" s="2" t="s">
        <v>74</v>
      </c>
      <c r="B18" s="3" t="s">
        <v>15</v>
      </c>
      <c r="C18" s="3" t="s">
        <v>15</v>
      </c>
      <c r="D18" s="3" t="s">
        <v>75</v>
      </c>
      <c r="E18" s="3" t="s">
        <v>76</v>
      </c>
      <c r="F18" s="3" t="s">
        <v>69</v>
      </c>
      <c r="G18" s="3" t="n">
        <v>0.5</v>
      </c>
      <c r="H18" s="3" t="s">
        <v>25</v>
      </c>
      <c r="I18" s="4" t="s">
        <v>20</v>
      </c>
      <c r="J18" s="3"/>
      <c r="K18" s="3" t="s">
        <v>21</v>
      </c>
      <c r="L18" s="3" t="s">
        <v>22</v>
      </c>
      <c r="M18" s="2"/>
      <c r="N18" s="3" t="n">
        <f aca="false">IF(AND(I18="Operational",OR(H18="operational_IT",H18="operational_critical",H18="operational_total",H18="combined")),G18,"")</f>
        <v>0.5</v>
      </c>
    </row>
    <row r="19" customFormat="false" ht="15" hidden="false" customHeight="false" outlineLevel="0" collapsed="false">
      <c r="A19" s="2" t="s">
        <v>77</v>
      </c>
      <c r="B19" s="3" t="s">
        <v>15</v>
      </c>
      <c r="C19" s="3" t="s">
        <v>15</v>
      </c>
      <c r="D19" s="3" t="s">
        <v>75</v>
      </c>
      <c r="E19" s="3" t="s">
        <v>76</v>
      </c>
      <c r="F19" s="3" t="s">
        <v>69</v>
      </c>
      <c r="G19" s="3" t="n">
        <v>11.6</v>
      </c>
      <c r="H19" s="3" t="s">
        <v>25</v>
      </c>
      <c r="I19" s="4" t="s">
        <v>20</v>
      </c>
      <c r="J19" s="3"/>
      <c r="K19" s="3" t="s">
        <v>21</v>
      </c>
      <c r="L19" s="3" t="s">
        <v>22</v>
      </c>
      <c r="M19" s="2"/>
      <c r="N19" s="3" t="n">
        <f aca="false">IF(AND(I19="Operational",OR(H19="operational_IT",H19="operational_critical",H19="operational_total",H19="combined")),G19,"")</f>
        <v>11.6</v>
      </c>
    </row>
    <row r="20" customFormat="false" ht="15" hidden="false" customHeight="false" outlineLevel="0" collapsed="false">
      <c r="A20" s="2" t="s">
        <v>78</v>
      </c>
      <c r="B20" s="3" t="s">
        <v>15</v>
      </c>
      <c r="C20" s="3" t="s">
        <v>15</v>
      </c>
      <c r="D20" s="3" t="s">
        <v>79</v>
      </c>
      <c r="E20" s="3" t="s">
        <v>59</v>
      </c>
      <c r="F20" s="3" t="s">
        <v>60</v>
      </c>
      <c r="G20" s="3" t="n">
        <v>0.2</v>
      </c>
      <c r="H20" s="3" t="s">
        <v>25</v>
      </c>
      <c r="I20" s="4" t="s">
        <v>20</v>
      </c>
      <c r="J20" s="3"/>
      <c r="K20" s="3" t="s">
        <v>21</v>
      </c>
      <c r="L20" s="3" t="s">
        <v>22</v>
      </c>
      <c r="M20" s="2"/>
      <c r="N20" s="3" t="n">
        <f aca="false">IF(AND(I20="Operational",OR(H20="operational_IT",H20="operational_critical",H20="operational_total",H20="combined")),G20,"")</f>
        <v>0.2</v>
      </c>
    </row>
    <row r="21" customFormat="false" ht="15" hidden="false" customHeight="false" outlineLevel="0" collapsed="false">
      <c r="A21" s="2" t="s">
        <v>80</v>
      </c>
      <c r="B21" s="3" t="s">
        <v>15</v>
      </c>
      <c r="C21" s="3" t="s">
        <v>15</v>
      </c>
      <c r="D21" s="3" t="s">
        <v>81</v>
      </c>
      <c r="E21" s="3" t="s">
        <v>82</v>
      </c>
      <c r="F21" s="3" t="s">
        <v>18</v>
      </c>
      <c r="G21" s="3" t="n">
        <v>9.2</v>
      </c>
      <c r="H21" s="3" t="s">
        <v>25</v>
      </c>
      <c r="I21" s="4" t="s">
        <v>20</v>
      </c>
      <c r="J21" s="3"/>
      <c r="K21" s="3" t="s">
        <v>21</v>
      </c>
      <c r="L21" s="3" t="s">
        <v>22</v>
      </c>
      <c r="M21" s="2"/>
      <c r="N21" s="3" t="n">
        <f aca="false">IF(AND(I21="Operational",OR(H21="operational_IT",H21="operational_critical",H21="operational_total",H21="combined")),G21,"")</f>
        <v>9.2</v>
      </c>
    </row>
    <row r="22" customFormat="false" ht="15" hidden="false" customHeight="false" outlineLevel="0" collapsed="false">
      <c r="A22" s="2" t="s">
        <v>83</v>
      </c>
      <c r="B22" s="3" t="s">
        <v>15</v>
      </c>
      <c r="C22" s="3" t="s">
        <v>15</v>
      </c>
      <c r="D22" s="3" t="s">
        <v>84</v>
      </c>
      <c r="E22" s="3" t="s">
        <v>82</v>
      </c>
      <c r="F22" s="3" t="s">
        <v>18</v>
      </c>
      <c r="G22" s="3"/>
      <c r="H22" s="3" t="s">
        <v>34</v>
      </c>
      <c r="I22" s="5" t="s">
        <v>35</v>
      </c>
      <c r="J22" s="3"/>
      <c r="K22" s="3" t="s">
        <v>21</v>
      </c>
      <c r="L22" s="3" t="s">
        <v>85</v>
      </c>
      <c r="M22" s="2" t="s">
        <v>86</v>
      </c>
      <c r="N22" s="3" t="str">
        <f aca="false">IF(AND(I22="Operational",OR(H22="operational_IT",H22="operational_critical",H22="operational_total",H22="combined")),G22,"")</f>
        <v/>
      </c>
    </row>
    <row r="23" customFormat="false" ht="15" hidden="false" customHeight="false" outlineLevel="0" collapsed="false">
      <c r="A23" s="2" t="s">
        <v>87</v>
      </c>
      <c r="B23" s="3" t="s">
        <v>15</v>
      </c>
      <c r="C23" s="3" t="s">
        <v>15</v>
      </c>
      <c r="D23" s="3" t="s">
        <v>88</v>
      </c>
      <c r="E23" s="3" t="s">
        <v>89</v>
      </c>
      <c r="F23" s="3" t="s">
        <v>18</v>
      </c>
      <c r="G23" s="3"/>
      <c r="H23" s="3" t="s">
        <v>34</v>
      </c>
      <c r="I23" s="6" t="s">
        <v>44</v>
      </c>
      <c r="J23" s="3"/>
      <c r="K23" s="3" t="s">
        <v>21</v>
      </c>
      <c r="L23" s="3" t="s">
        <v>90</v>
      </c>
      <c r="M23" s="2" t="s">
        <v>91</v>
      </c>
      <c r="N23" s="3" t="str">
        <f aca="false">IF(AND(I23="Operational",OR(H23="operational_IT",H23="operational_critical",H23="operational_total",H23="combined")),G23,"")</f>
        <v/>
      </c>
    </row>
    <row r="24" customFormat="false" ht="15" hidden="false" customHeight="false" outlineLevel="0" collapsed="false">
      <c r="A24" s="2" t="s">
        <v>92</v>
      </c>
      <c r="B24" s="3" t="s">
        <v>15</v>
      </c>
      <c r="C24" s="3" t="s">
        <v>15</v>
      </c>
      <c r="D24" s="3" t="s">
        <v>93</v>
      </c>
      <c r="E24" s="3" t="s">
        <v>94</v>
      </c>
      <c r="F24" s="3" t="s">
        <v>95</v>
      </c>
      <c r="G24" s="3"/>
      <c r="H24" s="3" t="s">
        <v>34</v>
      </c>
      <c r="I24" s="5" t="s">
        <v>35</v>
      </c>
      <c r="J24" s="3"/>
      <c r="K24" s="3" t="s">
        <v>21</v>
      </c>
      <c r="L24" s="3" t="s">
        <v>96</v>
      </c>
      <c r="M24" s="2"/>
      <c r="N24" s="3" t="str">
        <f aca="false">IF(AND(I24="Operational",OR(H24="operational_IT",H24="operational_critical",H24="operational_total",H24="combined")),G24,"")</f>
        <v/>
      </c>
    </row>
    <row r="25" customFormat="false" ht="15" hidden="false" customHeight="false" outlineLevel="0" collapsed="false">
      <c r="A25" s="2" t="s">
        <v>97</v>
      </c>
      <c r="B25" s="3" t="s">
        <v>15</v>
      </c>
      <c r="C25" s="3" t="s">
        <v>15</v>
      </c>
      <c r="D25" s="3" t="s">
        <v>98</v>
      </c>
      <c r="E25" s="3" t="s">
        <v>99</v>
      </c>
      <c r="F25" s="3" t="s">
        <v>69</v>
      </c>
      <c r="G25" s="3"/>
      <c r="H25" s="3" t="s">
        <v>51</v>
      </c>
      <c r="I25" s="6" t="s">
        <v>44</v>
      </c>
      <c r="J25" s="3"/>
      <c r="K25" s="3" t="s">
        <v>45</v>
      </c>
      <c r="L25" s="3" t="s">
        <v>28</v>
      </c>
      <c r="M25" s="2" t="s">
        <v>100</v>
      </c>
      <c r="N25" s="3" t="str">
        <f aca="false">IF(AND(I25="Operational",OR(H25="operational_IT",H25="operational_critical",H25="operational_total",H25="combined")),G25,"")</f>
        <v/>
      </c>
    </row>
    <row r="26" customFormat="false" ht="15" hidden="false" customHeight="false" outlineLevel="0" collapsed="false">
      <c r="A26" s="2" t="s">
        <v>101</v>
      </c>
      <c r="B26" s="3" t="s">
        <v>15</v>
      </c>
      <c r="C26" s="3" t="s">
        <v>15</v>
      </c>
      <c r="D26" s="3" t="s">
        <v>102</v>
      </c>
      <c r="E26" s="3" t="s">
        <v>103</v>
      </c>
      <c r="F26" s="3" t="s">
        <v>40</v>
      </c>
      <c r="G26" s="3"/>
      <c r="H26" s="3" t="s">
        <v>51</v>
      </c>
      <c r="I26" s="6" t="s">
        <v>44</v>
      </c>
      <c r="J26" s="3"/>
      <c r="K26" s="3" t="s">
        <v>45</v>
      </c>
      <c r="L26" s="3" t="s">
        <v>28</v>
      </c>
      <c r="M26" s="2" t="s">
        <v>100</v>
      </c>
      <c r="N26" s="3" t="str">
        <f aca="false">IF(AND(I26="Operational",OR(H26="operational_IT",H26="operational_critical",H26="operational_total",H26="combined")),G26,"")</f>
        <v/>
      </c>
    </row>
    <row r="27" customFormat="false" ht="15" hidden="false" customHeight="false" outlineLevel="0" collapsed="false">
      <c r="A27" s="2" t="s">
        <v>104</v>
      </c>
      <c r="B27" s="3" t="s">
        <v>105</v>
      </c>
      <c r="C27" s="3" t="s">
        <v>105</v>
      </c>
      <c r="D27" s="3" t="s">
        <v>33</v>
      </c>
      <c r="E27" s="3" t="s">
        <v>17</v>
      </c>
      <c r="F27" s="3" t="s">
        <v>18</v>
      </c>
      <c r="G27" s="3" t="n">
        <v>52</v>
      </c>
      <c r="H27" s="3" t="s">
        <v>106</v>
      </c>
      <c r="I27" s="4" t="s">
        <v>20</v>
      </c>
      <c r="J27" s="3"/>
      <c r="K27" s="3" t="s">
        <v>27</v>
      </c>
      <c r="L27" s="3" t="s">
        <v>107</v>
      </c>
      <c r="M27" s="2" t="s">
        <v>108</v>
      </c>
      <c r="N27" s="3" t="n">
        <f aca="false">IF(AND(I27="Operational",OR(H27="operational_IT",H27="operational_critical",H27="operational_total",H27="combined")),G27,"")</f>
        <v>52</v>
      </c>
    </row>
    <row r="28" customFormat="false" ht="15" hidden="false" customHeight="false" outlineLevel="0" collapsed="false">
      <c r="A28" s="2" t="s">
        <v>109</v>
      </c>
      <c r="B28" s="3" t="s">
        <v>105</v>
      </c>
      <c r="C28" s="3" t="s">
        <v>105</v>
      </c>
      <c r="D28" s="3" t="s">
        <v>33</v>
      </c>
      <c r="E28" s="3" t="s">
        <v>17</v>
      </c>
      <c r="F28" s="3" t="s">
        <v>18</v>
      </c>
      <c r="G28" s="3"/>
      <c r="H28" s="3" t="s">
        <v>34</v>
      </c>
      <c r="I28" s="5" t="s">
        <v>35</v>
      </c>
      <c r="J28" s="3"/>
      <c r="K28" s="3" t="s">
        <v>21</v>
      </c>
      <c r="L28" s="3" t="s">
        <v>110</v>
      </c>
      <c r="M28" s="2" t="s">
        <v>111</v>
      </c>
      <c r="N28" s="3" t="str">
        <f aca="false">IF(AND(I28="Operational",OR(H28="operational_IT",H28="operational_critical",H28="operational_total",H28="combined")),G28,"")</f>
        <v/>
      </c>
    </row>
    <row r="29" customFormat="false" ht="15" hidden="false" customHeight="false" outlineLevel="0" collapsed="false">
      <c r="A29" s="2" t="s">
        <v>112</v>
      </c>
      <c r="B29" s="3" t="s">
        <v>105</v>
      </c>
      <c r="C29" s="3" t="s">
        <v>105</v>
      </c>
      <c r="D29" s="3" t="s">
        <v>113</v>
      </c>
      <c r="E29" s="3" t="s">
        <v>59</v>
      </c>
      <c r="F29" s="3" t="s">
        <v>60</v>
      </c>
      <c r="G29" s="3" t="n">
        <v>30</v>
      </c>
      <c r="H29" s="3" t="s">
        <v>25</v>
      </c>
      <c r="I29" s="4" t="s">
        <v>20</v>
      </c>
      <c r="J29" s="3" t="n">
        <v>300000</v>
      </c>
      <c r="K29" s="3" t="s">
        <v>27</v>
      </c>
      <c r="L29" s="3" t="s">
        <v>114</v>
      </c>
      <c r="M29" s="2" t="s">
        <v>115</v>
      </c>
      <c r="N29" s="3" t="n">
        <f aca="false">IF(AND(I29="Operational",OR(H29="operational_IT",H29="operational_critical",H29="operational_total",H29="combined")),G29,"")</f>
        <v>30</v>
      </c>
    </row>
    <row r="30" customFormat="false" ht="15" hidden="false" customHeight="false" outlineLevel="0" collapsed="false">
      <c r="A30" s="2" t="s">
        <v>116</v>
      </c>
      <c r="B30" s="3" t="s">
        <v>105</v>
      </c>
      <c r="C30" s="3" t="s">
        <v>105</v>
      </c>
      <c r="D30" s="3" t="s">
        <v>84</v>
      </c>
      <c r="E30" s="3" t="s">
        <v>82</v>
      </c>
      <c r="F30" s="3" t="s">
        <v>18</v>
      </c>
      <c r="G30" s="3" t="n">
        <v>2</v>
      </c>
      <c r="H30" s="3" t="s">
        <v>25</v>
      </c>
      <c r="I30" s="4" t="s">
        <v>20</v>
      </c>
      <c r="J30" s="3" t="n">
        <v>21000</v>
      </c>
      <c r="K30" s="3" t="s">
        <v>27</v>
      </c>
      <c r="L30" s="3" t="s">
        <v>110</v>
      </c>
      <c r="M30" s="2" t="s">
        <v>117</v>
      </c>
      <c r="N30" s="3" t="n">
        <f aca="false">IF(AND(I30="Operational",OR(H30="operational_IT",H30="operational_critical",H30="operational_total",H30="combined")),G30,"")</f>
        <v>2</v>
      </c>
    </row>
    <row r="31" customFormat="false" ht="15" hidden="false" customHeight="false" outlineLevel="0" collapsed="false">
      <c r="A31" s="2" t="s">
        <v>118</v>
      </c>
      <c r="B31" s="3" t="s">
        <v>105</v>
      </c>
      <c r="C31" s="3" t="s">
        <v>105</v>
      </c>
      <c r="D31" s="3" t="s">
        <v>49</v>
      </c>
      <c r="E31" s="3" t="s">
        <v>50</v>
      </c>
      <c r="F31" s="3" t="s">
        <v>40</v>
      </c>
      <c r="G31" s="3" t="n">
        <v>140</v>
      </c>
      <c r="H31" s="3" t="s">
        <v>34</v>
      </c>
      <c r="I31" s="5" t="s">
        <v>35</v>
      </c>
      <c r="J31" s="3"/>
      <c r="K31" s="3" t="s">
        <v>21</v>
      </c>
      <c r="L31" s="3" t="s">
        <v>110</v>
      </c>
      <c r="M31" s="2" t="s">
        <v>119</v>
      </c>
      <c r="N31" s="3" t="str">
        <f aca="false">IF(AND(I31="Operational",OR(H31="operational_IT",H31="operational_critical",H31="operational_total",H31="combined")),G31,"")</f>
        <v/>
      </c>
    </row>
    <row r="32" customFormat="false" ht="15" hidden="false" customHeight="false" outlineLevel="0" collapsed="false">
      <c r="A32" s="2" t="s">
        <v>120</v>
      </c>
      <c r="B32" s="3" t="s">
        <v>121</v>
      </c>
      <c r="C32" s="3" t="s">
        <v>121</v>
      </c>
      <c r="D32" s="3" t="s">
        <v>33</v>
      </c>
      <c r="E32" s="3" t="s">
        <v>17</v>
      </c>
      <c r="F32" s="3" t="s">
        <v>18</v>
      </c>
      <c r="G32" s="3"/>
      <c r="H32" s="3" t="s">
        <v>51</v>
      </c>
      <c r="I32" s="4" t="s">
        <v>20</v>
      </c>
      <c r="J32" s="3"/>
      <c r="K32" s="3" t="s">
        <v>21</v>
      </c>
      <c r="L32" s="3" t="s">
        <v>122</v>
      </c>
      <c r="M32" s="2"/>
      <c r="N32" s="3" t="str">
        <f aca="false">IF(AND(I32="Operational",OR(H32="operational_IT",H32="operational_critical",H32="operational_total",H32="combined")),G32,"")</f>
        <v/>
      </c>
    </row>
    <row r="33" customFormat="false" ht="15" hidden="false" customHeight="false" outlineLevel="0" collapsed="false">
      <c r="A33" s="2" t="s">
        <v>123</v>
      </c>
      <c r="B33" s="3" t="s">
        <v>121</v>
      </c>
      <c r="C33" s="3" t="s">
        <v>121</v>
      </c>
      <c r="D33" s="3" t="s">
        <v>33</v>
      </c>
      <c r="E33" s="3" t="s">
        <v>17</v>
      </c>
      <c r="F33" s="3" t="s">
        <v>18</v>
      </c>
      <c r="G33" s="3"/>
      <c r="H33" s="3" t="s">
        <v>51</v>
      </c>
      <c r="I33" s="4" t="s">
        <v>20</v>
      </c>
      <c r="J33" s="3"/>
      <c r="K33" s="3" t="s">
        <v>21</v>
      </c>
      <c r="L33" s="3" t="s">
        <v>122</v>
      </c>
      <c r="M33" s="2" t="s">
        <v>124</v>
      </c>
      <c r="N33" s="3" t="str">
        <f aca="false">IF(AND(I33="Operational",OR(H33="operational_IT",H33="operational_critical",H33="operational_total",H33="combined")),G33,"")</f>
        <v/>
      </c>
    </row>
    <row r="34" customFormat="false" ht="23.85" hidden="false" customHeight="false" outlineLevel="0" collapsed="false">
      <c r="A34" s="2" t="s">
        <v>125</v>
      </c>
      <c r="B34" s="3" t="s">
        <v>121</v>
      </c>
      <c r="C34" s="3" t="s">
        <v>121</v>
      </c>
      <c r="D34" s="3" t="s">
        <v>33</v>
      </c>
      <c r="E34" s="3" t="s">
        <v>17</v>
      </c>
      <c r="F34" s="3" t="s">
        <v>18</v>
      </c>
      <c r="G34" s="3" t="n">
        <v>85</v>
      </c>
      <c r="H34" s="3" t="s">
        <v>106</v>
      </c>
      <c r="I34" s="4" t="s">
        <v>20</v>
      </c>
      <c r="J34" s="3"/>
      <c r="K34" s="3" t="s">
        <v>27</v>
      </c>
      <c r="L34" s="3" t="s">
        <v>126</v>
      </c>
      <c r="M34" s="2" t="s">
        <v>127</v>
      </c>
      <c r="N34" s="3" t="n">
        <f aca="false">IF(AND(I34="Operational",OR(H34="operational_IT",H34="operational_critical",H34="operational_total",H34="combined")),G34,"")</f>
        <v>85</v>
      </c>
    </row>
    <row r="35" customFormat="false" ht="15" hidden="false" customHeight="false" outlineLevel="0" collapsed="false">
      <c r="A35" s="2" t="s">
        <v>128</v>
      </c>
      <c r="B35" s="3" t="s">
        <v>121</v>
      </c>
      <c r="C35" s="3" t="s">
        <v>121</v>
      </c>
      <c r="D35" s="3" t="s">
        <v>58</v>
      </c>
      <c r="E35" s="3" t="s">
        <v>59</v>
      </c>
      <c r="F35" s="3" t="s">
        <v>60</v>
      </c>
      <c r="G35" s="3"/>
      <c r="H35" s="3" t="s">
        <v>51</v>
      </c>
      <c r="I35" s="4" t="s">
        <v>20</v>
      </c>
      <c r="J35" s="3"/>
      <c r="K35" s="3" t="s">
        <v>21</v>
      </c>
      <c r="L35" s="3" t="s">
        <v>122</v>
      </c>
      <c r="M35" s="2" t="s">
        <v>129</v>
      </c>
      <c r="N35" s="3" t="str">
        <f aca="false">IF(AND(I35="Operational",OR(H35="operational_IT",H35="operational_critical",H35="operational_total",H35="combined")),G35,"")</f>
        <v/>
      </c>
    </row>
    <row r="36" customFormat="false" ht="15" hidden="false" customHeight="false" outlineLevel="0" collapsed="false">
      <c r="A36" s="2" t="s">
        <v>130</v>
      </c>
      <c r="B36" s="3" t="s">
        <v>121</v>
      </c>
      <c r="C36" s="3" t="s">
        <v>121</v>
      </c>
      <c r="D36" s="3" t="s">
        <v>58</v>
      </c>
      <c r="E36" s="3" t="s">
        <v>59</v>
      </c>
      <c r="F36" s="3" t="s">
        <v>60</v>
      </c>
      <c r="G36" s="3" t="n">
        <v>25.92</v>
      </c>
      <c r="H36" s="3" t="s">
        <v>106</v>
      </c>
      <c r="I36" s="4" t="s">
        <v>20</v>
      </c>
      <c r="J36" s="3"/>
      <c r="K36" s="3" t="s">
        <v>27</v>
      </c>
      <c r="L36" s="3" t="s">
        <v>131</v>
      </c>
      <c r="M36" s="2" t="s">
        <v>132</v>
      </c>
      <c r="N36" s="3" t="n">
        <f aca="false">IF(AND(I36="Operational",OR(H36="operational_IT",H36="operational_critical",H36="operational_total",H36="combined")),G36,"")</f>
        <v>25.92</v>
      </c>
    </row>
    <row r="37" customFormat="false" ht="15" hidden="false" customHeight="false" outlineLevel="0" collapsed="false">
      <c r="A37" s="2" t="s">
        <v>133</v>
      </c>
      <c r="B37" s="3" t="s">
        <v>121</v>
      </c>
      <c r="C37" s="3" t="s">
        <v>121</v>
      </c>
      <c r="D37" s="3" t="s">
        <v>63</v>
      </c>
      <c r="E37" s="3" t="s">
        <v>64</v>
      </c>
      <c r="F37" s="3" t="s">
        <v>40</v>
      </c>
      <c r="G37" s="3"/>
      <c r="H37" s="3" t="s">
        <v>51</v>
      </c>
      <c r="I37" s="4" t="s">
        <v>20</v>
      </c>
      <c r="J37" s="3"/>
      <c r="K37" s="3" t="s">
        <v>21</v>
      </c>
      <c r="L37" s="3" t="s">
        <v>122</v>
      </c>
      <c r="M37" s="2" t="s">
        <v>134</v>
      </c>
      <c r="N37" s="3" t="str">
        <f aca="false">IF(AND(I37="Operational",OR(H37="operational_IT",H37="operational_critical",H37="operational_total",H37="combined")),G37,"")</f>
        <v/>
      </c>
    </row>
    <row r="38" customFormat="false" ht="15" hidden="false" customHeight="false" outlineLevel="0" collapsed="false">
      <c r="A38" s="2" t="s">
        <v>135</v>
      </c>
      <c r="B38" s="3" t="s">
        <v>121</v>
      </c>
      <c r="C38" s="3" t="s">
        <v>121</v>
      </c>
      <c r="D38" s="3" t="s">
        <v>63</v>
      </c>
      <c r="E38" s="3" t="s">
        <v>64</v>
      </c>
      <c r="F38" s="3" t="s">
        <v>40</v>
      </c>
      <c r="G38" s="3"/>
      <c r="H38" s="3" t="s">
        <v>34</v>
      </c>
      <c r="I38" s="6" t="s">
        <v>44</v>
      </c>
      <c r="J38" s="3"/>
      <c r="K38" s="3" t="s">
        <v>45</v>
      </c>
      <c r="L38" s="3" t="s">
        <v>122</v>
      </c>
      <c r="M38" s="2"/>
      <c r="N38" s="3" t="str">
        <f aca="false">IF(AND(I38="Operational",OR(H38="operational_IT",H38="operational_critical",H38="operational_total",H38="combined")),G38,"")</f>
        <v/>
      </c>
    </row>
    <row r="39" customFormat="false" ht="15" hidden="false" customHeight="false" outlineLevel="0" collapsed="false">
      <c r="A39" s="2" t="s">
        <v>136</v>
      </c>
      <c r="B39" s="3" t="s">
        <v>121</v>
      </c>
      <c r="C39" s="3" t="s">
        <v>121</v>
      </c>
      <c r="D39" s="3" t="s">
        <v>38</v>
      </c>
      <c r="E39" s="3" t="s">
        <v>39</v>
      </c>
      <c r="F39" s="3" t="s">
        <v>40</v>
      </c>
      <c r="G39" s="3"/>
      <c r="H39" s="3" t="s">
        <v>51</v>
      </c>
      <c r="I39" s="4" t="s">
        <v>20</v>
      </c>
      <c r="J39" s="3"/>
      <c r="K39" s="3" t="s">
        <v>21</v>
      </c>
      <c r="L39" s="3" t="s">
        <v>122</v>
      </c>
      <c r="M39" s="2" t="s">
        <v>137</v>
      </c>
      <c r="N39" s="3" t="str">
        <f aca="false">IF(AND(I39="Operational",OR(H39="operational_IT",H39="operational_critical",H39="operational_total",H39="combined")),G39,"")</f>
        <v/>
      </c>
    </row>
    <row r="40" customFormat="false" ht="15" hidden="false" customHeight="false" outlineLevel="0" collapsed="false">
      <c r="A40" s="2" t="s">
        <v>138</v>
      </c>
      <c r="B40" s="3" t="s">
        <v>121</v>
      </c>
      <c r="C40" s="3" t="s">
        <v>121</v>
      </c>
      <c r="D40" s="3" t="s">
        <v>38</v>
      </c>
      <c r="E40" s="3" t="s">
        <v>39</v>
      </c>
      <c r="F40" s="3" t="s">
        <v>40</v>
      </c>
      <c r="G40" s="3" t="n">
        <v>250</v>
      </c>
      <c r="H40" s="3" t="s">
        <v>34</v>
      </c>
      <c r="I40" s="6" t="s">
        <v>44</v>
      </c>
      <c r="J40" s="3"/>
      <c r="K40" s="3" t="s">
        <v>45</v>
      </c>
      <c r="L40" s="3" t="s">
        <v>122</v>
      </c>
      <c r="M40" s="2"/>
      <c r="N40" s="3" t="str">
        <f aca="false">IF(AND(I40="Operational",OR(H40="operational_IT",H40="operational_critical",H40="operational_total",H40="combined")),G40,"")</f>
        <v/>
      </c>
    </row>
    <row r="41" customFormat="false" ht="15" hidden="false" customHeight="false" outlineLevel="0" collapsed="false">
      <c r="A41" s="2" t="s">
        <v>139</v>
      </c>
      <c r="B41" s="3" t="s">
        <v>121</v>
      </c>
      <c r="C41" s="3" t="s">
        <v>121</v>
      </c>
      <c r="D41" s="3" t="s">
        <v>49</v>
      </c>
      <c r="E41" s="3" t="s">
        <v>50</v>
      </c>
      <c r="F41" s="3" t="s">
        <v>40</v>
      </c>
      <c r="G41" s="3"/>
      <c r="H41" s="3" t="s">
        <v>51</v>
      </c>
      <c r="I41" s="4" t="s">
        <v>20</v>
      </c>
      <c r="J41" s="3"/>
      <c r="K41" s="3" t="s">
        <v>21</v>
      </c>
      <c r="L41" s="3" t="s">
        <v>122</v>
      </c>
      <c r="M41" s="2" t="s">
        <v>140</v>
      </c>
      <c r="N41" s="3" t="str">
        <f aca="false">IF(AND(I41="Operational",OR(H41="operational_IT",H41="operational_critical",H41="operational_total",H41="combined")),G41,"")</f>
        <v/>
      </c>
    </row>
    <row r="42" customFormat="false" ht="15" hidden="false" customHeight="false" outlineLevel="0" collapsed="false">
      <c r="A42" s="2" t="s">
        <v>141</v>
      </c>
      <c r="B42" s="3" t="s">
        <v>121</v>
      </c>
      <c r="C42" s="3" t="s">
        <v>121</v>
      </c>
      <c r="D42" s="3" t="s">
        <v>49</v>
      </c>
      <c r="E42" s="3" t="s">
        <v>50</v>
      </c>
      <c r="F42" s="3" t="s">
        <v>40</v>
      </c>
      <c r="G42" s="3"/>
      <c r="H42" s="3" t="s">
        <v>51</v>
      </c>
      <c r="I42" s="4" t="s">
        <v>20</v>
      </c>
      <c r="J42" s="3"/>
      <c r="K42" s="3" t="s">
        <v>21</v>
      </c>
      <c r="L42" s="3" t="s">
        <v>142</v>
      </c>
      <c r="M42" s="2" t="s">
        <v>143</v>
      </c>
      <c r="N42" s="3" t="str">
        <f aca="false">IF(AND(I42="Operational",OR(H42="operational_IT",H42="operational_critical",H42="operational_total",H42="combined")),G42,"")</f>
        <v/>
      </c>
    </row>
    <row r="43" customFormat="false" ht="15" hidden="false" customHeight="false" outlineLevel="0" collapsed="false">
      <c r="A43" s="2" t="s">
        <v>144</v>
      </c>
      <c r="B43" s="3" t="s">
        <v>121</v>
      </c>
      <c r="C43" s="3" t="s">
        <v>121</v>
      </c>
      <c r="D43" s="3" t="s">
        <v>67</v>
      </c>
      <c r="E43" s="3" t="s">
        <v>68</v>
      </c>
      <c r="F43" s="3" t="s">
        <v>69</v>
      </c>
      <c r="G43" s="3"/>
      <c r="H43" s="3" t="s">
        <v>51</v>
      </c>
      <c r="I43" s="4" t="s">
        <v>20</v>
      </c>
      <c r="J43" s="3"/>
      <c r="K43" s="3" t="s">
        <v>21</v>
      </c>
      <c r="L43" s="3" t="s">
        <v>122</v>
      </c>
      <c r="M43" s="2" t="s">
        <v>145</v>
      </c>
      <c r="N43" s="3" t="str">
        <f aca="false">IF(AND(I43="Operational",OR(H43="operational_IT",H43="operational_critical",H43="operational_total",H43="combined")),G43,"")</f>
        <v/>
      </c>
    </row>
    <row r="44" customFormat="false" ht="15" hidden="false" customHeight="false" outlineLevel="0" collapsed="false">
      <c r="A44" s="2" t="s">
        <v>146</v>
      </c>
      <c r="B44" s="3" t="s">
        <v>121</v>
      </c>
      <c r="C44" s="3" t="s">
        <v>121</v>
      </c>
      <c r="D44" s="3" t="s">
        <v>147</v>
      </c>
      <c r="E44" s="3" t="s">
        <v>148</v>
      </c>
      <c r="F44" s="3" t="s">
        <v>40</v>
      </c>
      <c r="G44" s="3"/>
      <c r="H44" s="3" t="s">
        <v>51</v>
      </c>
      <c r="I44" s="5" t="s">
        <v>35</v>
      </c>
      <c r="J44" s="3"/>
      <c r="K44" s="3" t="s">
        <v>45</v>
      </c>
      <c r="L44" s="3" t="s">
        <v>122</v>
      </c>
      <c r="M44" s="2"/>
      <c r="N44" s="3" t="str">
        <f aca="false">IF(AND(I44="Operational",OR(H44="operational_IT",H44="operational_critical",H44="operational_total",H44="combined")),G44,"")</f>
        <v/>
      </c>
    </row>
    <row r="45" customFormat="false" ht="15" hidden="false" customHeight="false" outlineLevel="0" collapsed="false">
      <c r="A45" s="2" t="s">
        <v>149</v>
      </c>
      <c r="B45" s="3" t="s">
        <v>121</v>
      </c>
      <c r="C45" s="3" t="s">
        <v>121</v>
      </c>
      <c r="D45" s="3" t="s">
        <v>150</v>
      </c>
      <c r="E45" s="3" t="s">
        <v>150</v>
      </c>
      <c r="F45" s="3" t="s">
        <v>60</v>
      </c>
      <c r="G45" s="3"/>
      <c r="H45" s="3" t="s">
        <v>51</v>
      </c>
      <c r="I45" s="6" t="s">
        <v>44</v>
      </c>
      <c r="J45" s="3"/>
      <c r="K45" s="3" t="s">
        <v>45</v>
      </c>
      <c r="L45" s="3" t="s">
        <v>122</v>
      </c>
      <c r="M45" s="2"/>
      <c r="N45" s="3" t="str">
        <f aca="false">IF(AND(I45="Operational",OR(H45="operational_IT",H45="operational_critical",H45="operational_total",H45="combined")),G45,"")</f>
        <v/>
      </c>
    </row>
    <row r="46" customFormat="false" ht="15" hidden="false" customHeight="false" outlineLevel="0" collapsed="false">
      <c r="A46" s="2" t="s">
        <v>151</v>
      </c>
      <c r="B46" s="3" t="s">
        <v>121</v>
      </c>
      <c r="C46" s="3" t="s">
        <v>121</v>
      </c>
      <c r="D46" s="3" t="s">
        <v>79</v>
      </c>
      <c r="E46" s="3" t="s">
        <v>59</v>
      </c>
      <c r="F46" s="3" t="s">
        <v>60</v>
      </c>
      <c r="G46" s="3"/>
      <c r="H46" s="3" t="s">
        <v>51</v>
      </c>
      <c r="I46" s="6" t="s">
        <v>44</v>
      </c>
      <c r="J46" s="3"/>
      <c r="K46" s="3" t="s">
        <v>45</v>
      </c>
      <c r="L46" s="3" t="s">
        <v>122</v>
      </c>
      <c r="M46" s="2"/>
      <c r="N46" s="3" t="str">
        <f aca="false">IF(AND(I46="Operational",OR(H46="operational_IT",H46="operational_critical",H46="operational_total",H46="combined")),G46,"")</f>
        <v/>
      </c>
    </row>
    <row r="47" customFormat="false" ht="15" hidden="false" customHeight="false" outlineLevel="0" collapsed="false">
      <c r="A47" s="2" t="s">
        <v>152</v>
      </c>
      <c r="B47" s="3" t="s">
        <v>121</v>
      </c>
      <c r="C47" s="3" t="s">
        <v>121</v>
      </c>
      <c r="D47" s="3" t="s">
        <v>153</v>
      </c>
      <c r="E47" s="3" t="s">
        <v>17</v>
      </c>
      <c r="F47" s="3" t="s">
        <v>18</v>
      </c>
      <c r="G47" s="3"/>
      <c r="H47" s="3" t="s">
        <v>51</v>
      </c>
      <c r="I47" s="6" t="s">
        <v>44</v>
      </c>
      <c r="J47" s="3"/>
      <c r="K47" s="3" t="s">
        <v>45</v>
      </c>
      <c r="L47" s="3" t="s">
        <v>122</v>
      </c>
      <c r="M47" s="2"/>
      <c r="N47" s="3" t="str">
        <f aca="false">IF(AND(I47="Operational",OR(H47="operational_IT",H47="operational_critical",H47="operational_total",H47="combined")),G47,"")</f>
        <v/>
      </c>
    </row>
    <row r="48" customFormat="false" ht="15" hidden="false" customHeight="false" outlineLevel="0" collapsed="false">
      <c r="A48" s="2" t="s">
        <v>154</v>
      </c>
      <c r="B48" s="3" t="s">
        <v>155</v>
      </c>
      <c r="C48" s="3" t="s">
        <v>156</v>
      </c>
      <c r="D48" s="3" t="s">
        <v>33</v>
      </c>
      <c r="E48" s="3" t="s">
        <v>17</v>
      </c>
      <c r="F48" s="3" t="s">
        <v>18</v>
      </c>
      <c r="G48" s="3" t="n">
        <v>2.3</v>
      </c>
      <c r="H48" s="3" t="s">
        <v>25</v>
      </c>
      <c r="I48" s="4" t="s">
        <v>20</v>
      </c>
      <c r="J48" s="3" t="n">
        <v>50000</v>
      </c>
      <c r="K48" s="3" t="s">
        <v>27</v>
      </c>
      <c r="L48" s="3" t="s">
        <v>157</v>
      </c>
      <c r="M48" s="2" t="s">
        <v>158</v>
      </c>
      <c r="N48" s="3" t="n">
        <f aca="false">IF(AND(I48="Operational",OR(H48="operational_IT",H48="operational_critical",H48="operational_total",H48="combined")),G48,"")</f>
        <v>2.3</v>
      </c>
    </row>
    <row r="49" customFormat="false" ht="15" hidden="false" customHeight="false" outlineLevel="0" collapsed="false">
      <c r="A49" s="2" t="s">
        <v>159</v>
      </c>
      <c r="B49" s="3" t="s">
        <v>155</v>
      </c>
      <c r="C49" s="3" t="s">
        <v>156</v>
      </c>
      <c r="D49" s="3" t="s">
        <v>33</v>
      </c>
      <c r="E49" s="3" t="s">
        <v>17</v>
      </c>
      <c r="F49" s="3" t="s">
        <v>18</v>
      </c>
      <c r="G49" s="3" t="n">
        <v>6.3</v>
      </c>
      <c r="H49" s="3" t="s">
        <v>106</v>
      </c>
      <c r="I49" s="4" t="s">
        <v>20</v>
      </c>
      <c r="J49" s="3" t="n">
        <v>110631</v>
      </c>
      <c r="K49" s="3" t="s">
        <v>27</v>
      </c>
      <c r="L49" s="3" t="s">
        <v>157</v>
      </c>
      <c r="M49" s="2" t="s">
        <v>158</v>
      </c>
      <c r="N49" s="3" t="n">
        <f aca="false">IF(AND(I49="Operational",OR(H49="operational_IT",H49="operational_critical",H49="operational_total",H49="combined")),G49,"")</f>
        <v>6.3</v>
      </c>
    </row>
    <row r="50" customFormat="false" ht="15" hidden="false" customHeight="false" outlineLevel="0" collapsed="false">
      <c r="A50" s="2" t="s">
        <v>160</v>
      </c>
      <c r="B50" s="3" t="s">
        <v>155</v>
      </c>
      <c r="C50" s="3" t="s">
        <v>156</v>
      </c>
      <c r="D50" s="3" t="s">
        <v>33</v>
      </c>
      <c r="E50" s="3" t="s">
        <v>17</v>
      </c>
      <c r="F50" s="3" t="s">
        <v>18</v>
      </c>
      <c r="G50" s="3" t="n">
        <v>85</v>
      </c>
      <c r="H50" s="3" t="s">
        <v>34</v>
      </c>
      <c r="I50" s="5" t="s">
        <v>35</v>
      </c>
      <c r="J50" s="3"/>
      <c r="K50" s="3" t="s">
        <v>27</v>
      </c>
      <c r="L50" s="3" t="s">
        <v>157</v>
      </c>
      <c r="M50" s="2" t="s">
        <v>161</v>
      </c>
      <c r="N50" s="3" t="str">
        <f aca="false">IF(AND(I50="Operational",OR(H50="operational_IT",H50="operational_critical",H50="operational_total",H50="combined")),G50,"")</f>
        <v/>
      </c>
    </row>
    <row r="51" customFormat="false" ht="15" hidden="false" customHeight="false" outlineLevel="0" collapsed="false">
      <c r="A51" s="2" t="s">
        <v>162</v>
      </c>
      <c r="B51" s="3" t="s">
        <v>155</v>
      </c>
      <c r="C51" s="3" t="s">
        <v>156</v>
      </c>
      <c r="D51" s="3" t="s">
        <v>63</v>
      </c>
      <c r="E51" s="3" t="s">
        <v>64</v>
      </c>
      <c r="F51" s="3" t="s">
        <v>40</v>
      </c>
      <c r="G51" s="3" t="n">
        <v>4</v>
      </c>
      <c r="H51" s="3" t="s">
        <v>25</v>
      </c>
      <c r="I51" s="4" t="s">
        <v>20</v>
      </c>
      <c r="J51" s="3"/>
      <c r="K51" s="3" t="s">
        <v>21</v>
      </c>
      <c r="L51" s="3" t="s">
        <v>163</v>
      </c>
      <c r="M51" s="2" t="s">
        <v>158</v>
      </c>
      <c r="N51" s="3" t="n">
        <f aca="false">IF(AND(I51="Operational",OR(H51="operational_IT",H51="operational_critical",H51="operational_total",H51="combined")),G51,"")</f>
        <v>4</v>
      </c>
    </row>
    <row r="52" customFormat="false" ht="15" hidden="false" customHeight="false" outlineLevel="0" collapsed="false">
      <c r="A52" s="2" t="s">
        <v>164</v>
      </c>
      <c r="B52" s="3" t="s">
        <v>155</v>
      </c>
      <c r="C52" s="3" t="s">
        <v>156</v>
      </c>
      <c r="D52" s="3" t="s">
        <v>38</v>
      </c>
      <c r="E52" s="3" t="s">
        <v>39</v>
      </c>
      <c r="F52" s="3" t="s">
        <v>40</v>
      </c>
      <c r="G52" s="3" t="n">
        <v>5.6</v>
      </c>
      <c r="H52" s="3" t="s">
        <v>25</v>
      </c>
      <c r="I52" s="4" t="s">
        <v>20</v>
      </c>
      <c r="J52" s="3"/>
      <c r="K52" s="3" t="s">
        <v>21</v>
      </c>
      <c r="L52" s="3" t="s">
        <v>163</v>
      </c>
      <c r="M52" s="2" t="s">
        <v>158</v>
      </c>
      <c r="N52" s="3" t="n">
        <f aca="false">IF(AND(I52="Operational",OR(H52="operational_IT",H52="operational_critical",H52="operational_total",H52="combined")),G52,"")</f>
        <v>5.6</v>
      </c>
    </row>
    <row r="53" customFormat="false" ht="15" hidden="false" customHeight="false" outlineLevel="0" collapsed="false">
      <c r="A53" s="2" t="s">
        <v>165</v>
      </c>
      <c r="B53" s="3" t="s">
        <v>155</v>
      </c>
      <c r="C53" s="3" t="s">
        <v>156</v>
      </c>
      <c r="D53" s="3" t="s">
        <v>58</v>
      </c>
      <c r="E53" s="3" t="s">
        <v>59</v>
      </c>
      <c r="F53" s="3" t="s">
        <v>60</v>
      </c>
      <c r="G53" s="3" t="n">
        <v>12</v>
      </c>
      <c r="H53" s="3" t="s">
        <v>25</v>
      </c>
      <c r="I53" s="4" t="s">
        <v>20</v>
      </c>
      <c r="J53" s="3" t="n">
        <v>69735</v>
      </c>
      <c r="K53" s="3" t="s">
        <v>27</v>
      </c>
      <c r="L53" s="3" t="s">
        <v>166</v>
      </c>
      <c r="M53" s="2"/>
      <c r="N53" s="3" t="n">
        <f aca="false">IF(AND(I53="Operational",OR(H53="operational_IT",H53="operational_critical",H53="operational_total",H53="combined")),G53,"")</f>
        <v>12</v>
      </c>
    </row>
    <row r="54" customFormat="false" ht="15" hidden="false" customHeight="false" outlineLevel="0" collapsed="false">
      <c r="A54" s="2" t="s">
        <v>167</v>
      </c>
      <c r="B54" s="3" t="s">
        <v>155</v>
      </c>
      <c r="C54" s="3" t="s">
        <v>156</v>
      </c>
      <c r="D54" s="3" t="s">
        <v>58</v>
      </c>
      <c r="E54" s="3" t="s">
        <v>59</v>
      </c>
      <c r="F54" s="3" t="s">
        <v>60</v>
      </c>
      <c r="G54" s="3" t="n">
        <v>2.8</v>
      </c>
      <c r="H54" s="3" t="s">
        <v>25</v>
      </c>
      <c r="I54" s="4" t="s">
        <v>20</v>
      </c>
      <c r="J54" s="3" t="n">
        <v>103333</v>
      </c>
      <c r="K54" s="3" t="s">
        <v>27</v>
      </c>
      <c r="L54" s="3" t="s">
        <v>166</v>
      </c>
      <c r="M54" s="2"/>
      <c r="N54" s="3" t="n">
        <f aca="false">IF(AND(I54="Operational",OR(H54="operational_IT",H54="operational_critical",H54="operational_total",H54="combined")),G54,"")</f>
        <v>2.8</v>
      </c>
    </row>
    <row r="55" customFormat="false" ht="15" hidden="false" customHeight="false" outlineLevel="0" collapsed="false">
      <c r="A55" s="2" t="s">
        <v>168</v>
      </c>
      <c r="B55" s="3" t="s">
        <v>155</v>
      </c>
      <c r="C55" s="3" t="s">
        <v>156</v>
      </c>
      <c r="D55" s="3" t="s">
        <v>169</v>
      </c>
      <c r="E55" s="3" t="s">
        <v>17</v>
      </c>
      <c r="F55" s="3" t="s">
        <v>18</v>
      </c>
      <c r="G55" s="3" t="n">
        <v>2</v>
      </c>
      <c r="H55" s="3" t="s">
        <v>25</v>
      </c>
      <c r="I55" s="4" t="s">
        <v>20</v>
      </c>
      <c r="J55" s="3" t="n">
        <v>38000</v>
      </c>
      <c r="K55" s="3" t="s">
        <v>27</v>
      </c>
      <c r="L55" s="3" t="s">
        <v>170</v>
      </c>
      <c r="M55" s="2"/>
      <c r="N55" s="3" t="n">
        <f aca="false">IF(AND(I55="Operational",OR(H55="operational_IT",H55="operational_critical",H55="operational_total",H55="combined")),G55,"")</f>
        <v>2</v>
      </c>
    </row>
    <row r="56" customFormat="false" ht="15" hidden="false" customHeight="false" outlineLevel="0" collapsed="false">
      <c r="A56" s="2" t="s">
        <v>171</v>
      </c>
      <c r="B56" s="3" t="s">
        <v>155</v>
      </c>
      <c r="C56" s="3" t="s">
        <v>156</v>
      </c>
      <c r="D56" s="3" t="s">
        <v>49</v>
      </c>
      <c r="E56" s="3" t="s">
        <v>50</v>
      </c>
      <c r="F56" s="3" t="s">
        <v>40</v>
      </c>
      <c r="G56" s="3" t="n">
        <v>23.2</v>
      </c>
      <c r="H56" s="3" t="s">
        <v>34</v>
      </c>
      <c r="I56" s="5" t="s">
        <v>35</v>
      </c>
      <c r="J56" s="3"/>
      <c r="K56" s="3" t="s">
        <v>27</v>
      </c>
      <c r="L56" s="3" t="s">
        <v>172</v>
      </c>
      <c r="M56" s="2" t="s">
        <v>173</v>
      </c>
      <c r="N56" s="3" t="str">
        <f aca="false">IF(AND(I56="Operational",OR(H56="operational_IT",H56="operational_critical",H56="operational_total",H56="combined")),G56,"")</f>
        <v/>
      </c>
    </row>
    <row r="57" customFormat="false" ht="15" hidden="false" customHeight="false" outlineLevel="0" collapsed="false">
      <c r="A57" s="2" t="s">
        <v>174</v>
      </c>
      <c r="B57" s="3" t="s">
        <v>155</v>
      </c>
      <c r="C57" s="3" t="s">
        <v>156</v>
      </c>
      <c r="D57" s="3" t="s">
        <v>49</v>
      </c>
      <c r="E57" s="3" t="s">
        <v>50</v>
      </c>
      <c r="F57" s="3" t="s">
        <v>40</v>
      </c>
      <c r="G57" s="3" t="n">
        <v>19</v>
      </c>
      <c r="H57" s="3" t="s">
        <v>34</v>
      </c>
      <c r="I57" s="6" t="s">
        <v>44</v>
      </c>
      <c r="J57" s="3"/>
      <c r="K57" s="3" t="s">
        <v>27</v>
      </c>
      <c r="L57" s="3" t="s">
        <v>172</v>
      </c>
      <c r="M57" s="2" t="s">
        <v>175</v>
      </c>
      <c r="N57" s="3" t="str">
        <f aca="false">IF(AND(I57="Operational",OR(H57="operational_IT",H57="operational_critical",H57="operational_total",H57="combined")),G57,"")</f>
        <v/>
      </c>
    </row>
    <row r="58" customFormat="false" ht="15" hidden="false" customHeight="false" outlineLevel="0" collapsed="false">
      <c r="A58" s="2" t="s">
        <v>176</v>
      </c>
      <c r="B58" s="3" t="s">
        <v>177</v>
      </c>
      <c r="C58" s="3" t="s">
        <v>177</v>
      </c>
      <c r="D58" s="3" t="s">
        <v>178</v>
      </c>
      <c r="E58" s="3" t="s">
        <v>17</v>
      </c>
      <c r="F58" s="3" t="s">
        <v>18</v>
      </c>
      <c r="G58" s="3"/>
      <c r="H58" s="3" t="s">
        <v>51</v>
      </c>
      <c r="I58" s="4" t="s">
        <v>20</v>
      </c>
      <c r="J58" s="3"/>
      <c r="K58" s="3" t="s">
        <v>21</v>
      </c>
      <c r="L58" s="3" t="s">
        <v>179</v>
      </c>
      <c r="M58" s="2"/>
      <c r="N58" s="3" t="str">
        <f aca="false">IF(AND(I58="Operational",OR(H58="operational_IT",H58="operational_critical",H58="operational_total",H58="combined")),G58,"")</f>
        <v/>
      </c>
    </row>
    <row r="59" customFormat="false" ht="15" hidden="false" customHeight="false" outlineLevel="0" collapsed="false">
      <c r="A59" s="2" t="s">
        <v>180</v>
      </c>
      <c r="B59" s="3" t="s">
        <v>177</v>
      </c>
      <c r="C59" s="3" t="s">
        <v>177</v>
      </c>
      <c r="D59" s="3" t="s">
        <v>33</v>
      </c>
      <c r="E59" s="3" t="s">
        <v>17</v>
      </c>
      <c r="F59" s="3" t="s">
        <v>18</v>
      </c>
      <c r="G59" s="3"/>
      <c r="H59" s="3" t="s">
        <v>51</v>
      </c>
      <c r="I59" s="4" t="s">
        <v>20</v>
      </c>
      <c r="J59" s="3"/>
      <c r="K59" s="3" t="s">
        <v>21</v>
      </c>
      <c r="L59" s="3" t="s">
        <v>179</v>
      </c>
      <c r="M59" s="2"/>
      <c r="N59" s="3" t="str">
        <f aca="false">IF(AND(I59="Operational",OR(H59="operational_IT",H59="operational_critical",H59="operational_total",H59="combined")),G59,"")</f>
        <v/>
      </c>
    </row>
    <row r="60" customFormat="false" ht="15" hidden="false" customHeight="false" outlineLevel="0" collapsed="false">
      <c r="A60" s="2" t="s">
        <v>181</v>
      </c>
      <c r="B60" s="3" t="s">
        <v>177</v>
      </c>
      <c r="C60" s="3" t="s">
        <v>177</v>
      </c>
      <c r="D60" s="3" t="s">
        <v>63</v>
      </c>
      <c r="E60" s="3" t="s">
        <v>64</v>
      </c>
      <c r="F60" s="3" t="s">
        <v>40</v>
      </c>
      <c r="G60" s="3"/>
      <c r="H60" s="3" t="s">
        <v>51</v>
      </c>
      <c r="I60" s="4" t="s">
        <v>20</v>
      </c>
      <c r="J60" s="3"/>
      <c r="K60" s="3" t="s">
        <v>21</v>
      </c>
      <c r="L60" s="3" t="s">
        <v>179</v>
      </c>
      <c r="M60" s="2" t="s">
        <v>182</v>
      </c>
      <c r="N60" s="3" t="str">
        <f aca="false">IF(AND(I60="Operational",OR(H60="operational_IT",H60="operational_critical",H60="operational_total",H60="combined")),G60,"")</f>
        <v/>
      </c>
    </row>
    <row r="61" customFormat="false" ht="15" hidden="false" customHeight="false" outlineLevel="0" collapsed="false">
      <c r="A61" s="2" t="s">
        <v>183</v>
      </c>
      <c r="B61" s="3" t="s">
        <v>177</v>
      </c>
      <c r="C61" s="3" t="s">
        <v>177</v>
      </c>
      <c r="D61" s="3" t="s">
        <v>184</v>
      </c>
      <c r="E61" s="3" t="s">
        <v>185</v>
      </c>
      <c r="F61" s="3" t="s">
        <v>60</v>
      </c>
      <c r="G61" s="3"/>
      <c r="H61" s="3" t="s">
        <v>51</v>
      </c>
      <c r="I61" s="4" t="s">
        <v>20</v>
      </c>
      <c r="J61" s="3"/>
      <c r="K61" s="3" t="s">
        <v>21</v>
      </c>
      <c r="L61" s="3" t="s">
        <v>179</v>
      </c>
      <c r="M61" s="2" t="s">
        <v>182</v>
      </c>
      <c r="N61" s="3" t="str">
        <f aca="false">IF(AND(I61="Operational",OR(H61="operational_IT",H61="operational_critical",H61="operational_total",H61="combined")),G61,"")</f>
        <v/>
      </c>
    </row>
    <row r="62" customFormat="false" ht="15" hidden="false" customHeight="false" outlineLevel="0" collapsed="false">
      <c r="A62" s="2" t="s">
        <v>186</v>
      </c>
      <c r="B62" s="3" t="s">
        <v>177</v>
      </c>
      <c r="C62" s="3" t="s">
        <v>177</v>
      </c>
      <c r="D62" s="3" t="s">
        <v>58</v>
      </c>
      <c r="E62" s="3" t="s">
        <v>59</v>
      </c>
      <c r="F62" s="3" t="s">
        <v>60</v>
      </c>
      <c r="G62" s="3"/>
      <c r="H62" s="3" t="s">
        <v>51</v>
      </c>
      <c r="I62" s="4" t="s">
        <v>20</v>
      </c>
      <c r="J62" s="3"/>
      <c r="K62" s="3" t="s">
        <v>21</v>
      </c>
      <c r="L62" s="3" t="s">
        <v>179</v>
      </c>
      <c r="M62" s="2" t="s">
        <v>182</v>
      </c>
      <c r="N62" s="3" t="str">
        <f aca="false">IF(AND(I62="Operational",OR(H62="operational_IT",H62="operational_critical",H62="operational_total",H62="combined")),G62,"")</f>
        <v/>
      </c>
    </row>
    <row r="63" customFormat="false" ht="15" hidden="false" customHeight="false" outlineLevel="0" collapsed="false">
      <c r="A63" s="2" t="s">
        <v>187</v>
      </c>
      <c r="B63" s="3" t="s">
        <v>177</v>
      </c>
      <c r="C63" s="3" t="s">
        <v>177</v>
      </c>
      <c r="D63" s="3" t="s">
        <v>67</v>
      </c>
      <c r="E63" s="3" t="s">
        <v>68</v>
      </c>
      <c r="F63" s="3" t="s">
        <v>69</v>
      </c>
      <c r="G63" s="3"/>
      <c r="H63" s="3" t="s">
        <v>51</v>
      </c>
      <c r="I63" s="6" t="s">
        <v>44</v>
      </c>
      <c r="J63" s="3"/>
      <c r="K63" s="3" t="s">
        <v>21</v>
      </c>
      <c r="L63" s="3" t="s">
        <v>179</v>
      </c>
      <c r="M63" s="2"/>
      <c r="N63" s="3" t="str">
        <f aca="false">IF(AND(I63="Operational",OR(H63="operational_IT",H63="operational_critical",H63="operational_total",H63="combined")),G63,"")</f>
        <v/>
      </c>
    </row>
    <row r="64" customFormat="false" ht="15" hidden="false" customHeight="false" outlineLevel="0" collapsed="false">
      <c r="A64" s="2" t="s">
        <v>188</v>
      </c>
      <c r="B64" s="3" t="s">
        <v>177</v>
      </c>
      <c r="C64" s="3" t="s">
        <v>177</v>
      </c>
      <c r="D64" s="3" t="s">
        <v>189</v>
      </c>
      <c r="E64" s="3" t="s">
        <v>59</v>
      </c>
      <c r="F64" s="3" t="s">
        <v>60</v>
      </c>
      <c r="G64" s="3"/>
      <c r="H64" s="3" t="s">
        <v>51</v>
      </c>
      <c r="I64" s="6" t="s">
        <v>44</v>
      </c>
      <c r="J64" s="3"/>
      <c r="K64" s="3" t="s">
        <v>21</v>
      </c>
      <c r="L64" s="3" t="s">
        <v>179</v>
      </c>
      <c r="M64" s="2"/>
      <c r="N64" s="3" t="str">
        <f aca="false">IF(AND(I64="Operational",OR(H64="operational_IT",H64="operational_critical",H64="operational_total",H64="combined")),G64,"")</f>
        <v/>
      </c>
    </row>
    <row r="65" customFormat="false" ht="15" hidden="false" customHeight="false" outlineLevel="0" collapsed="false">
      <c r="A65" s="2" t="s">
        <v>190</v>
      </c>
      <c r="B65" s="3" t="s">
        <v>191</v>
      </c>
      <c r="C65" s="3" t="s">
        <v>191</v>
      </c>
      <c r="D65" s="3" t="s">
        <v>192</v>
      </c>
      <c r="E65" s="3" t="s">
        <v>148</v>
      </c>
      <c r="F65" s="3" t="s">
        <v>40</v>
      </c>
      <c r="G65" s="3" t="n">
        <v>60</v>
      </c>
      <c r="H65" s="3" t="s">
        <v>106</v>
      </c>
      <c r="I65" s="4" t="s">
        <v>20</v>
      </c>
      <c r="J65" s="3" t="n">
        <v>500000</v>
      </c>
      <c r="K65" s="3" t="s">
        <v>21</v>
      </c>
      <c r="L65" s="3" t="s">
        <v>193</v>
      </c>
      <c r="M65" s="2" t="s">
        <v>194</v>
      </c>
      <c r="N65" s="3" t="n">
        <f aca="false">IF(AND(I65="Operational",OR(H65="operational_IT",H65="operational_critical",H65="operational_total",H65="combined")),G65,"")</f>
        <v>60</v>
      </c>
    </row>
    <row r="66" customFormat="false" ht="15" hidden="false" customHeight="false" outlineLevel="0" collapsed="false">
      <c r="A66" s="2" t="s">
        <v>195</v>
      </c>
      <c r="B66" s="3" t="s">
        <v>191</v>
      </c>
      <c r="C66" s="3" t="s">
        <v>191</v>
      </c>
      <c r="D66" s="3" t="s">
        <v>16</v>
      </c>
      <c r="E66" s="3" t="s">
        <v>17</v>
      </c>
      <c r="F66" s="3" t="s">
        <v>18</v>
      </c>
      <c r="G66" s="3" t="n">
        <v>23</v>
      </c>
      <c r="H66" s="3" t="s">
        <v>34</v>
      </c>
      <c r="I66" s="5" t="s">
        <v>35</v>
      </c>
      <c r="J66" s="3"/>
      <c r="K66" s="3" t="s">
        <v>21</v>
      </c>
      <c r="L66" s="3" t="s">
        <v>196</v>
      </c>
      <c r="M66" s="2" t="s">
        <v>197</v>
      </c>
      <c r="N66" s="3" t="str">
        <f aca="false">IF(AND(I66="Operational",OR(H66="operational_IT",H66="operational_critical",H66="operational_total",H66="combined")),G66,"")</f>
        <v/>
      </c>
    </row>
    <row r="67" customFormat="false" ht="15" hidden="false" customHeight="false" outlineLevel="0" collapsed="false">
      <c r="A67" s="2" t="s">
        <v>198</v>
      </c>
      <c r="B67" s="3" t="s">
        <v>191</v>
      </c>
      <c r="C67" s="3" t="s">
        <v>191</v>
      </c>
      <c r="D67" s="3" t="s">
        <v>102</v>
      </c>
      <c r="E67" s="3" t="s">
        <v>103</v>
      </c>
      <c r="F67" s="3" t="s">
        <v>40</v>
      </c>
      <c r="G67" s="3"/>
      <c r="H67" s="3" t="s">
        <v>51</v>
      </c>
      <c r="I67" s="4" t="s">
        <v>20</v>
      </c>
      <c r="J67" s="3"/>
      <c r="K67" s="3" t="s">
        <v>21</v>
      </c>
      <c r="L67" s="3" t="s">
        <v>199</v>
      </c>
      <c r="M67" s="2"/>
      <c r="N67" s="3" t="str">
        <f aca="false">IF(AND(I67="Operational",OR(H67="operational_IT",H67="operational_critical",H67="operational_total",H67="combined")),G67,"")</f>
        <v/>
      </c>
    </row>
    <row r="68" customFormat="false" ht="15" hidden="false" customHeight="false" outlineLevel="0" collapsed="false">
      <c r="A68" s="2" t="s">
        <v>200</v>
      </c>
      <c r="B68" s="3" t="s">
        <v>191</v>
      </c>
      <c r="C68" s="3" t="s">
        <v>191</v>
      </c>
      <c r="D68" s="3" t="s">
        <v>38</v>
      </c>
      <c r="E68" s="3" t="s">
        <v>39</v>
      </c>
      <c r="F68" s="3" t="s">
        <v>40</v>
      </c>
      <c r="G68" s="3"/>
      <c r="H68" s="3" t="s">
        <v>51</v>
      </c>
      <c r="I68" s="7" t="s">
        <v>201</v>
      </c>
      <c r="J68" s="3"/>
      <c r="K68" s="3" t="s">
        <v>45</v>
      </c>
      <c r="L68" s="3" t="s">
        <v>202</v>
      </c>
      <c r="M68" s="2" t="s">
        <v>203</v>
      </c>
      <c r="N68" s="3" t="str">
        <f aca="false">IF(AND(I68="Operational",OR(H68="operational_IT",H68="operational_critical",H68="operational_total",H68="combined")),G68,"")</f>
        <v/>
      </c>
    </row>
    <row r="69" customFormat="false" ht="15" hidden="false" customHeight="false" outlineLevel="0" collapsed="false">
      <c r="A69" s="2" t="s">
        <v>204</v>
      </c>
      <c r="B69" s="3" t="s">
        <v>205</v>
      </c>
      <c r="C69" s="3" t="s">
        <v>205</v>
      </c>
      <c r="D69" s="3" t="s">
        <v>206</v>
      </c>
      <c r="E69" s="3" t="s">
        <v>64</v>
      </c>
      <c r="F69" s="3" t="s">
        <v>40</v>
      </c>
      <c r="G69" s="3" t="n">
        <v>20</v>
      </c>
      <c r="H69" s="3" t="s">
        <v>25</v>
      </c>
      <c r="I69" s="4" t="s">
        <v>20</v>
      </c>
      <c r="J69" s="3"/>
      <c r="K69" s="3" t="s">
        <v>21</v>
      </c>
      <c r="L69" s="3" t="s">
        <v>207</v>
      </c>
      <c r="M69" s="2"/>
      <c r="N69" s="3" t="n">
        <f aca="false">IF(AND(I69="Operational",OR(H69="operational_IT",H69="operational_critical",H69="operational_total",H69="combined")),G69,"")</f>
        <v>20</v>
      </c>
    </row>
    <row r="70" customFormat="false" ht="15" hidden="false" customHeight="false" outlineLevel="0" collapsed="false">
      <c r="A70" s="2" t="s">
        <v>208</v>
      </c>
      <c r="B70" s="3" t="s">
        <v>205</v>
      </c>
      <c r="C70" s="3" t="s">
        <v>205</v>
      </c>
      <c r="D70" s="3" t="s">
        <v>63</v>
      </c>
      <c r="E70" s="3" t="s">
        <v>64</v>
      </c>
      <c r="F70" s="3" t="s">
        <v>40</v>
      </c>
      <c r="G70" s="3"/>
      <c r="H70" s="3" t="s">
        <v>51</v>
      </c>
      <c r="I70" s="4" t="s">
        <v>20</v>
      </c>
      <c r="J70" s="3"/>
      <c r="K70" s="3" t="s">
        <v>21</v>
      </c>
      <c r="L70" s="3" t="s">
        <v>209</v>
      </c>
      <c r="M70" s="2" t="s">
        <v>210</v>
      </c>
      <c r="N70" s="3" t="str">
        <f aca="false">IF(AND(I70="Operational",OR(H70="operational_IT",H70="operational_critical",H70="operational_total",H70="combined")),G70,"")</f>
        <v/>
      </c>
    </row>
    <row r="71" customFormat="false" ht="15" hidden="false" customHeight="false" outlineLevel="0" collapsed="false">
      <c r="A71" s="2" t="s">
        <v>211</v>
      </c>
      <c r="B71" s="3" t="s">
        <v>205</v>
      </c>
      <c r="C71" s="3" t="s">
        <v>205</v>
      </c>
      <c r="D71" s="3" t="s">
        <v>63</v>
      </c>
      <c r="E71" s="3" t="s">
        <v>64</v>
      </c>
      <c r="F71" s="3" t="s">
        <v>40</v>
      </c>
      <c r="G71" s="3"/>
      <c r="H71" s="3" t="s">
        <v>51</v>
      </c>
      <c r="I71" s="4" t="s">
        <v>20</v>
      </c>
      <c r="J71" s="3"/>
      <c r="K71" s="3" t="s">
        <v>21</v>
      </c>
      <c r="L71" s="3" t="s">
        <v>212</v>
      </c>
      <c r="M71" s="2"/>
      <c r="N71" s="3" t="str">
        <f aca="false">IF(AND(I71="Operational",OR(H71="operational_IT",H71="operational_critical",H71="operational_total",H71="combined")),G71,"")</f>
        <v/>
      </c>
    </row>
    <row r="72" customFormat="false" ht="15" hidden="false" customHeight="false" outlineLevel="0" collapsed="false">
      <c r="A72" s="2" t="s">
        <v>213</v>
      </c>
      <c r="B72" s="3" t="s">
        <v>205</v>
      </c>
      <c r="C72" s="3" t="s">
        <v>205</v>
      </c>
      <c r="D72" s="3" t="s">
        <v>81</v>
      </c>
      <c r="E72" s="3" t="s">
        <v>82</v>
      </c>
      <c r="F72" s="3" t="s">
        <v>18</v>
      </c>
      <c r="G72" s="3"/>
      <c r="H72" s="3" t="s">
        <v>51</v>
      </c>
      <c r="I72" s="7" t="s">
        <v>201</v>
      </c>
      <c r="J72" s="3"/>
      <c r="K72" s="3" t="s">
        <v>45</v>
      </c>
      <c r="L72" s="3" t="s">
        <v>214</v>
      </c>
      <c r="M72" s="2" t="s">
        <v>215</v>
      </c>
      <c r="N72" s="3" t="str">
        <f aca="false">IF(AND(I72="Operational",OR(H72="operational_IT",H72="operational_critical",H72="operational_total",H72="combined")),G72,"")</f>
        <v/>
      </c>
    </row>
    <row r="73" customFormat="false" ht="15" hidden="false" customHeight="false" outlineLevel="0" collapsed="false">
      <c r="A73" s="2" t="s">
        <v>216</v>
      </c>
      <c r="B73" s="3" t="s">
        <v>205</v>
      </c>
      <c r="C73" s="3" t="s">
        <v>205</v>
      </c>
      <c r="D73" s="3" t="s">
        <v>217</v>
      </c>
      <c r="E73" s="3" t="s">
        <v>218</v>
      </c>
      <c r="F73" s="3" t="s">
        <v>60</v>
      </c>
      <c r="G73" s="3"/>
      <c r="H73" s="3" t="s">
        <v>51</v>
      </c>
      <c r="I73" s="7" t="s">
        <v>201</v>
      </c>
      <c r="J73" s="3"/>
      <c r="K73" s="3" t="s">
        <v>45</v>
      </c>
      <c r="L73" s="3" t="s">
        <v>214</v>
      </c>
      <c r="M73" s="2" t="s">
        <v>215</v>
      </c>
      <c r="N73" s="3" t="str">
        <f aca="false">IF(AND(I73="Operational",OR(H73="operational_IT",H73="operational_critical",H73="operational_total",H73="combined")),G73,"")</f>
        <v/>
      </c>
    </row>
    <row r="74" customFormat="false" ht="15" hidden="false" customHeight="false" outlineLevel="0" collapsed="false">
      <c r="A74" s="2" t="s">
        <v>219</v>
      </c>
      <c r="B74" s="3" t="s">
        <v>205</v>
      </c>
      <c r="C74" s="3" t="s">
        <v>205</v>
      </c>
      <c r="D74" s="3" t="s">
        <v>16</v>
      </c>
      <c r="E74" s="3" t="s">
        <v>17</v>
      </c>
      <c r="F74" s="3" t="s">
        <v>18</v>
      </c>
      <c r="G74" s="3"/>
      <c r="H74" s="3" t="s">
        <v>51</v>
      </c>
      <c r="I74" s="7" t="s">
        <v>201</v>
      </c>
      <c r="J74" s="3"/>
      <c r="K74" s="3" t="s">
        <v>45</v>
      </c>
      <c r="L74" s="3" t="s">
        <v>214</v>
      </c>
      <c r="M74" s="2" t="s">
        <v>215</v>
      </c>
      <c r="N74" s="3" t="str">
        <f aca="false">IF(AND(I74="Operational",OR(H74="operational_IT",H74="operational_critical",H74="operational_total",H74="combined")),G74,"")</f>
        <v/>
      </c>
    </row>
    <row r="75" customFormat="false" ht="15" hidden="false" customHeight="false" outlineLevel="0" collapsed="false">
      <c r="A75" s="2" t="s">
        <v>220</v>
      </c>
      <c r="B75" s="3" t="s">
        <v>221</v>
      </c>
      <c r="C75" s="3" t="s">
        <v>221</v>
      </c>
      <c r="D75" s="3" t="s">
        <v>16</v>
      </c>
      <c r="E75" s="3" t="s">
        <v>17</v>
      </c>
      <c r="F75" s="3" t="s">
        <v>18</v>
      </c>
      <c r="G75" s="3" t="n">
        <v>4</v>
      </c>
      <c r="H75" s="3" t="s">
        <v>106</v>
      </c>
      <c r="I75" s="4" t="s">
        <v>20</v>
      </c>
      <c r="J75" s="3"/>
      <c r="K75" s="3" t="s">
        <v>27</v>
      </c>
      <c r="L75" s="3" t="s">
        <v>222</v>
      </c>
      <c r="M75" s="2"/>
      <c r="N75" s="3" t="n">
        <f aca="false">IF(AND(I75="Operational",OR(H75="operational_IT",H75="operational_critical",H75="operational_total",H75="combined")),G75,"")</f>
        <v>4</v>
      </c>
    </row>
    <row r="76" customFormat="false" ht="15" hidden="false" customHeight="false" outlineLevel="0" collapsed="false">
      <c r="A76" s="2" t="s">
        <v>223</v>
      </c>
      <c r="B76" s="3" t="s">
        <v>221</v>
      </c>
      <c r="C76" s="3" t="s">
        <v>221</v>
      </c>
      <c r="D76" s="3" t="s">
        <v>33</v>
      </c>
      <c r="E76" s="3" t="s">
        <v>17</v>
      </c>
      <c r="F76" s="3" t="s">
        <v>18</v>
      </c>
      <c r="G76" s="3" t="n">
        <v>7</v>
      </c>
      <c r="H76" s="3" t="s">
        <v>106</v>
      </c>
      <c r="I76" s="4" t="s">
        <v>20</v>
      </c>
      <c r="J76" s="3"/>
      <c r="K76" s="3" t="s">
        <v>27</v>
      </c>
      <c r="L76" s="3" t="s">
        <v>222</v>
      </c>
      <c r="M76" s="2"/>
      <c r="N76" s="3" t="n">
        <f aca="false">IF(AND(I76="Operational",OR(H76="operational_IT",H76="operational_critical",H76="operational_total",H76="combined")),G76,"")</f>
        <v>7</v>
      </c>
    </row>
    <row r="77" customFormat="false" ht="15" hidden="false" customHeight="false" outlineLevel="0" collapsed="false">
      <c r="A77" s="2" t="s">
        <v>224</v>
      </c>
      <c r="B77" s="3" t="s">
        <v>221</v>
      </c>
      <c r="C77" s="3" t="s">
        <v>221</v>
      </c>
      <c r="D77" s="3" t="s">
        <v>33</v>
      </c>
      <c r="E77" s="3" t="s">
        <v>17</v>
      </c>
      <c r="F77" s="3" t="s">
        <v>18</v>
      </c>
      <c r="G77" s="3" t="n">
        <v>18</v>
      </c>
      <c r="H77" s="3" t="s">
        <v>106</v>
      </c>
      <c r="I77" s="4" t="s">
        <v>20</v>
      </c>
      <c r="J77" s="3"/>
      <c r="K77" s="3" t="s">
        <v>27</v>
      </c>
      <c r="L77" s="3" t="s">
        <v>222</v>
      </c>
      <c r="M77" s="2"/>
      <c r="N77" s="3" t="n">
        <f aca="false">IF(AND(I77="Operational",OR(H77="operational_IT",H77="operational_critical",H77="operational_total",H77="combined")),G77,"")</f>
        <v>18</v>
      </c>
    </row>
    <row r="78" customFormat="false" ht="15" hidden="false" customHeight="false" outlineLevel="0" collapsed="false">
      <c r="A78" s="2" t="s">
        <v>225</v>
      </c>
      <c r="B78" s="3" t="s">
        <v>221</v>
      </c>
      <c r="C78" s="3" t="s">
        <v>221</v>
      </c>
      <c r="D78" s="3" t="s">
        <v>33</v>
      </c>
      <c r="E78" s="3" t="s">
        <v>17</v>
      </c>
      <c r="F78" s="3" t="s">
        <v>18</v>
      </c>
      <c r="G78" s="3" t="n">
        <v>42</v>
      </c>
      <c r="H78" s="3" t="s">
        <v>106</v>
      </c>
      <c r="I78" s="4" t="s">
        <v>20</v>
      </c>
      <c r="J78" s="3"/>
      <c r="K78" s="3" t="s">
        <v>27</v>
      </c>
      <c r="L78" s="3" t="s">
        <v>222</v>
      </c>
      <c r="M78" s="2"/>
      <c r="N78" s="3" t="n">
        <f aca="false">IF(AND(I78="Operational",OR(H78="operational_IT",H78="operational_critical",H78="operational_total",H78="combined")),G78,"")</f>
        <v>42</v>
      </c>
    </row>
    <row r="79" customFormat="false" ht="15" hidden="false" customHeight="false" outlineLevel="0" collapsed="false">
      <c r="A79" s="2" t="s">
        <v>226</v>
      </c>
      <c r="B79" s="3" t="s">
        <v>221</v>
      </c>
      <c r="C79" s="3" t="s">
        <v>221</v>
      </c>
      <c r="D79" s="3" t="s">
        <v>169</v>
      </c>
      <c r="E79" s="3" t="s">
        <v>17</v>
      </c>
      <c r="F79" s="3" t="s">
        <v>18</v>
      </c>
      <c r="G79" s="3" t="n">
        <v>4.5</v>
      </c>
      <c r="H79" s="3" t="s">
        <v>106</v>
      </c>
      <c r="I79" s="4" t="s">
        <v>20</v>
      </c>
      <c r="J79" s="3"/>
      <c r="K79" s="3" t="s">
        <v>27</v>
      </c>
      <c r="L79" s="3" t="s">
        <v>227</v>
      </c>
      <c r="M79" s="2"/>
      <c r="N79" s="3" t="n">
        <f aca="false">IF(AND(I79="Operational",OR(H79="operational_IT",H79="operational_critical",H79="operational_total",H79="combined")),G79,"")</f>
        <v>4.5</v>
      </c>
    </row>
    <row r="80" customFormat="false" ht="15" hidden="false" customHeight="false" outlineLevel="0" collapsed="false">
      <c r="A80" s="2" t="s">
        <v>228</v>
      </c>
      <c r="B80" s="3" t="s">
        <v>221</v>
      </c>
      <c r="C80" s="3" t="s">
        <v>221</v>
      </c>
      <c r="D80" s="3" t="s">
        <v>169</v>
      </c>
      <c r="E80" s="3" t="s">
        <v>17</v>
      </c>
      <c r="F80" s="3" t="s">
        <v>18</v>
      </c>
      <c r="G80" s="3" t="n">
        <v>17</v>
      </c>
      <c r="H80" s="3" t="s">
        <v>106</v>
      </c>
      <c r="I80" s="4" t="s">
        <v>20</v>
      </c>
      <c r="J80" s="3"/>
      <c r="K80" s="3" t="s">
        <v>27</v>
      </c>
      <c r="L80" s="3" t="s">
        <v>227</v>
      </c>
      <c r="M80" s="2"/>
      <c r="N80" s="3" t="n">
        <f aca="false">IF(AND(I80="Operational",OR(H80="operational_IT",H80="operational_critical",H80="operational_total",H80="combined")),G80,"")</f>
        <v>17</v>
      </c>
    </row>
    <row r="81" customFormat="false" ht="15" hidden="false" customHeight="false" outlineLevel="0" collapsed="false">
      <c r="A81" s="2" t="s">
        <v>229</v>
      </c>
      <c r="B81" s="3" t="s">
        <v>221</v>
      </c>
      <c r="C81" s="3" t="s">
        <v>221</v>
      </c>
      <c r="D81" s="3" t="s">
        <v>169</v>
      </c>
      <c r="E81" s="3" t="s">
        <v>17</v>
      </c>
      <c r="F81" s="3" t="s">
        <v>18</v>
      </c>
      <c r="G81" s="3" t="n">
        <v>4</v>
      </c>
      <c r="H81" s="3" t="s">
        <v>106</v>
      </c>
      <c r="I81" s="4" t="s">
        <v>20</v>
      </c>
      <c r="J81" s="3"/>
      <c r="K81" s="3" t="s">
        <v>27</v>
      </c>
      <c r="L81" s="3" t="s">
        <v>227</v>
      </c>
      <c r="M81" s="2"/>
      <c r="N81" s="3" t="n">
        <f aca="false">IF(AND(I81="Operational",OR(H81="operational_IT",H81="operational_critical",H81="operational_total",H81="combined")),G81,"")</f>
        <v>4</v>
      </c>
    </row>
    <row r="82" customFormat="false" ht="15" hidden="false" customHeight="false" outlineLevel="0" collapsed="false">
      <c r="A82" s="2" t="s">
        <v>230</v>
      </c>
      <c r="B82" s="3" t="s">
        <v>221</v>
      </c>
      <c r="C82" s="3" t="s">
        <v>221</v>
      </c>
      <c r="D82" s="3" t="s">
        <v>169</v>
      </c>
      <c r="E82" s="3" t="s">
        <v>17</v>
      </c>
      <c r="F82" s="3" t="s">
        <v>18</v>
      </c>
      <c r="G82" s="3" t="n">
        <v>24</v>
      </c>
      <c r="H82" s="3" t="s">
        <v>106</v>
      </c>
      <c r="I82" s="4" t="s">
        <v>20</v>
      </c>
      <c r="J82" s="3"/>
      <c r="K82" s="3" t="s">
        <v>27</v>
      </c>
      <c r="L82" s="3" t="s">
        <v>227</v>
      </c>
      <c r="M82" s="2"/>
      <c r="N82" s="3" t="n">
        <f aca="false">IF(AND(I82="Operational",OR(H82="operational_IT",H82="operational_critical",H82="operational_total",H82="combined")),G82,"")</f>
        <v>24</v>
      </c>
    </row>
    <row r="83" customFormat="false" ht="15" hidden="false" customHeight="false" outlineLevel="0" collapsed="false">
      <c r="A83" s="2" t="s">
        <v>231</v>
      </c>
      <c r="B83" s="3" t="s">
        <v>221</v>
      </c>
      <c r="C83" s="3" t="s">
        <v>221</v>
      </c>
      <c r="D83" s="3" t="s">
        <v>63</v>
      </c>
      <c r="E83" s="3" t="s">
        <v>64</v>
      </c>
      <c r="F83" s="3" t="s">
        <v>40</v>
      </c>
      <c r="G83" s="3" t="n">
        <v>5.4</v>
      </c>
      <c r="H83" s="3" t="s">
        <v>106</v>
      </c>
      <c r="I83" s="4" t="s">
        <v>20</v>
      </c>
      <c r="J83" s="3"/>
      <c r="K83" s="3" t="s">
        <v>27</v>
      </c>
      <c r="L83" s="3" t="s">
        <v>232</v>
      </c>
      <c r="M83" s="2"/>
      <c r="N83" s="3" t="n">
        <f aca="false">IF(AND(I83="Operational",OR(H83="operational_IT",H83="operational_critical",H83="operational_total",H83="combined")),G83,"")</f>
        <v>5.4</v>
      </c>
    </row>
    <row r="84" customFormat="false" ht="15" hidden="false" customHeight="false" outlineLevel="0" collapsed="false">
      <c r="A84" s="2" t="s">
        <v>233</v>
      </c>
      <c r="B84" s="3" t="s">
        <v>221</v>
      </c>
      <c r="C84" s="3" t="s">
        <v>221</v>
      </c>
      <c r="D84" s="3" t="s">
        <v>63</v>
      </c>
      <c r="E84" s="3" t="s">
        <v>64</v>
      </c>
      <c r="F84" s="3" t="s">
        <v>40</v>
      </c>
      <c r="G84" s="3" t="n">
        <v>14</v>
      </c>
      <c r="H84" s="3" t="s">
        <v>106</v>
      </c>
      <c r="I84" s="4" t="s">
        <v>20</v>
      </c>
      <c r="J84" s="3"/>
      <c r="K84" s="3" t="s">
        <v>27</v>
      </c>
      <c r="L84" s="3" t="s">
        <v>232</v>
      </c>
      <c r="M84" s="2"/>
      <c r="N84" s="3" t="n">
        <f aca="false">IF(AND(I84="Operational",OR(H84="operational_IT",H84="operational_critical",H84="operational_total",H84="combined")),G84,"")</f>
        <v>14</v>
      </c>
    </row>
    <row r="85" customFormat="false" ht="15" hidden="false" customHeight="false" outlineLevel="0" collapsed="false">
      <c r="A85" s="2" t="s">
        <v>234</v>
      </c>
      <c r="B85" s="3" t="s">
        <v>221</v>
      </c>
      <c r="C85" s="3" t="s">
        <v>221</v>
      </c>
      <c r="D85" s="3" t="s">
        <v>63</v>
      </c>
      <c r="E85" s="3" t="s">
        <v>64</v>
      </c>
      <c r="F85" s="3" t="s">
        <v>40</v>
      </c>
      <c r="G85" s="3" t="n">
        <v>6</v>
      </c>
      <c r="H85" s="3" t="s">
        <v>106</v>
      </c>
      <c r="I85" s="4" t="s">
        <v>20</v>
      </c>
      <c r="J85" s="3"/>
      <c r="K85" s="3" t="s">
        <v>27</v>
      </c>
      <c r="L85" s="3" t="s">
        <v>232</v>
      </c>
      <c r="M85" s="2"/>
      <c r="N85" s="3" t="n">
        <f aca="false">IF(AND(I85="Operational",OR(H85="operational_IT",H85="operational_critical",H85="operational_total",H85="combined")),G85,"")</f>
        <v>6</v>
      </c>
    </row>
    <row r="86" customFormat="false" ht="15" hidden="false" customHeight="false" outlineLevel="0" collapsed="false">
      <c r="A86" s="2" t="s">
        <v>235</v>
      </c>
      <c r="B86" s="3" t="s">
        <v>221</v>
      </c>
      <c r="C86" s="3" t="s">
        <v>221</v>
      </c>
      <c r="D86" s="3" t="s">
        <v>63</v>
      </c>
      <c r="E86" s="3" t="s">
        <v>64</v>
      </c>
      <c r="F86" s="3" t="s">
        <v>40</v>
      </c>
      <c r="G86" s="3" t="n">
        <v>20</v>
      </c>
      <c r="H86" s="3" t="s">
        <v>106</v>
      </c>
      <c r="I86" s="4" t="s">
        <v>20</v>
      </c>
      <c r="J86" s="3"/>
      <c r="K86" s="3" t="s">
        <v>27</v>
      </c>
      <c r="L86" s="3" t="s">
        <v>232</v>
      </c>
      <c r="M86" s="2"/>
      <c r="N86" s="3" t="n">
        <f aca="false">IF(AND(I86="Operational",OR(H86="operational_IT",H86="operational_critical",H86="operational_total",H86="combined")),G86,"")</f>
        <v>20</v>
      </c>
    </row>
    <row r="87" customFormat="false" ht="15" hidden="false" customHeight="false" outlineLevel="0" collapsed="false">
      <c r="A87" s="2" t="s">
        <v>236</v>
      </c>
      <c r="B87" s="3" t="s">
        <v>221</v>
      </c>
      <c r="C87" s="3" t="s">
        <v>221</v>
      </c>
      <c r="D87" s="3" t="s">
        <v>49</v>
      </c>
      <c r="E87" s="3" t="s">
        <v>50</v>
      </c>
      <c r="F87" s="3" t="s">
        <v>40</v>
      </c>
      <c r="G87" s="3" t="n">
        <v>2</v>
      </c>
      <c r="H87" s="3" t="s">
        <v>106</v>
      </c>
      <c r="I87" s="4" t="s">
        <v>20</v>
      </c>
      <c r="J87" s="3"/>
      <c r="K87" s="3" t="s">
        <v>27</v>
      </c>
      <c r="L87" s="3" t="s">
        <v>237</v>
      </c>
      <c r="M87" s="2"/>
      <c r="N87" s="3" t="n">
        <f aca="false">IF(AND(I87="Operational",OR(H87="operational_IT",H87="operational_critical",H87="operational_total",H87="combined")),G87,"")</f>
        <v>2</v>
      </c>
    </row>
    <row r="88" customFormat="false" ht="15" hidden="false" customHeight="false" outlineLevel="0" collapsed="false">
      <c r="A88" s="2" t="s">
        <v>238</v>
      </c>
      <c r="B88" s="3" t="s">
        <v>221</v>
      </c>
      <c r="C88" s="3" t="s">
        <v>221</v>
      </c>
      <c r="D88" s="3" t="s">
        <v>49</v>
      </c>
      <c r="E88" s="3" t="s">
        <v>50</v>
      </c>
      <c r="F88" s="3" t="s">
        <v>40</v>
      </c>
      <c r="G88" s="3" t="n">
        <v>4</v>
      </c>
      <c r="H88" s="3" t="s">
        <v>106</v>
      </c>
      <c r="I88" s="4" t="s">
        <v>20</v>
      </c>
      <c r="J88" s="3"/>
      <c r="K88" s="3" t="s">
        <v>27</v>
      </c>
      <c r="L88" s="3" t="s">
        <v>237</v>
      </c>
      <c r="M88" s="2"/>
      <c r="N88" s="3" t="n">
        <f aca="false">IF(AND(I88="Operational",OR(H88="operational_IT",H88="operational_critical",H88="operational_total",H88="combined")),G88,"")</f>
        <v>4</v>
      </c>
    </row>
    <row r="89" customFormat="false" ht="15" hidden="false" customHeight="false" outlineLevel="0" collapsed="false">
      <c r="A89" s="2" t="s">
        <v>239</v>
      </c>
      <c r="B89" s="3" t="s">
        <v>221</v>
      </c>
      <c r="C89" s="3" t="s">
        <v>221</v>
      </c>
      <c r="D89" s="3" t="s">
        <v>49</v>
      </c>
      <c r="E89" s="3" t="s">
        <v>50</v>
      </c>
      <c r="F89" s="3" t="s">
        <v>40</v>
      </c>
      <c r="G89" s="3" t="n">
        <v>16</v>
      </c>
      <c r="H89" s="3" t="s">
        <v>106</v>
      </c>
      <c r="I89" s="4" t="s">
        <v>20</v>
      </c>
      <c r="J89" s="3"/>
      <c r="K89" s="3" t="s">
        <v>27</v>
      </c>
      <c r="L89" s="3" t="s">
        <v>237</v>
      </c>
      <c r="M89" s="2"/>
      <c r="N89" s="3" t="n">
        <f aca="false">IF(AND(I89="Operational",OR(H89="operational_IT",H89="operational_critical",H89="operational_total",H89="combined")),G89,"")</f>
        <v>16</v>
      </c>
    </row>
    <row r="90" customFormat="false" ht="15" hidden="false" customHeight="false" outlineLevel="0" collapsed="false">
      <c r="A90" s="2" t="s">
        <v>240</v>
      </c>
      <c r="B90" s="3" t="s">
        <v>221</v>
      </c>
      <c r="C90" s="3" t="s">
        <v>221</v>
      </c>
      <c r="D90" s="3" t="s">
        <v>49</v>
      </c>
      <c r="E90" s="3" t="s">
        <v>50</v>
      </c>
      <c r="F90" s="3" t="s">
        <v>40</v>
      </c>
      <c r="G90" s="3" t="n">
        <v>27</v>
      </c>
      <c r="H90" s="3" t="s">
        <v>106</v>
      </c>
      <c r="I90" s="4" t="s">
        <v>20</v>
      </c>
      <c r="J90" s="3"/>
      <c r="K90" s="3" t="s">
        <v>27</v>
      </c>
      <c r="L90" s="3" t="s">
        <v>237</v>
      </c>
      <c r="M90" s="2"/>
      <c r="N90" s="3" t="n">
        <f aca="false">IF(AND(I90="Operational",OR(H90="operational_IT",H90="operational_critical",H90="operational_total",H90="combined")),G90,"")</f>
        <v>27</v>
      </c>
    </row>
    <row r="91" customFormat="false" ht="15" hidden="false" customHeight="false" outlineLevel="0" collapsed="false">
      <c r="A91" s="2" t="s">
        <v>241</v>
      </c>
      <c r="B91" s="3" t="s">
        <v>221</v>
      </c>
      <c r="C91" s="3" t="s">
        <v>221</v>
      </c>
      <c r="D91" s="3" t="s">
        <v>58</v>
      </c>
      <c r="E91" s="3" t="s">
        <v>59</v>
      </c>
      <c r="F91" s="3" t="s">
        <v>60</v>
      </c>
      <c r="G91" s="3" t="n">
        <v>4.5</v>
      </c>
      <c r="H91" s="3" t="s">
        <v>106</v>
      </c>
      <c r="I91" s="4" t="s">
        <v>20</v>
      </c>
      <c r="J91" s="3"/>
      <c r="K91" s="3" t="s">
        <v>27</v>
      </c>
      <c r="L91" s="3" t="s">
        <v>242</v>
      </c>
      <c r="M91" s="2"/>
      <c r="N91" s="3" t="n">
        <f aca="false">IF(AND(I91="Operational",OR(H91="operational_IT",H91="operational_critical",H91="operational_total",H91="combined")),G91,"")</f>
        <v>4.5</v>
      </c>
    </row>
    <row r="92" customFormat="false" ht="15" hidden="false" customHeight="false" outlineLevel="0" collapsed="false">
      <c r="A92" s="2" t="s">
        <v>243</v>
      </c>
      <c r="B92" s="3" t="s">
        <v>221</v>
      </c>
      <c r="C92" s="3" t="s">
        <v>221</v>
      </c>
      <c r="D92" s="3" t="s">
        <v>58</v>
      </c>
      <c r="E92" s="3" t="s">
        <v>59</v>
      </c>
      <c r="F92" s="3" t="s">
        <v>60</v>
      </c>
      <c r="G92" s="3" t="n">
        <v>3.5</v>
      </c>
      <c r="H92" s="3" t="s">
        <v>106</v>
      </c>
      <c r="I92" s="4" t="s">
        <v>20</v>
      </c>
      <c r="J92" s="3"/>
      <c r="K92" s="3" t="s">
        <v>27</v>
      </c>
      <c r="L92" s="3" t="s">
        <v>242</v>
      </c>
      <c r="M92" s="2"/>
      <c r="N92" s="3" t="n">
        <f aca="false">IF(AND(I92="Operational",OR(H92="operational_IT",H92="operational_critical",H92="operational_total",H92="combined")),G92,"")</f>
        <v>3.5</v>
      </c>
    </row>
    <row r="93" customFormat="false" ht="15" hidden="false" customHeight="false" outlineLevel="0" collapsed="false">
      <c r="A93" s="2" t="s">
        <v>244</v>
      </c>
      <c r="B93" s="3" t="s">
        <v>221</v>
      </c>
      <c r="C93" s="3" t="s">
        <v>221</v>
      </c>
      <c r="D93" s="3" t="s">
        <v>58</v>
      </c>
      <c r="E93" s="3" t="s">
        <v>59</v>
      </c>
      <c r="F93" s="3" t="s">
        <v>60</v>
      </c>
      <c r="G93" s="3" t="n">
        <v>18</v>
      </c>
      <c r="H93" s="3" t="s">
        <v>106</v>
      </c>
      <c r="I93" s="4" t="s">
        <v>20</v>
      </c>
      <c r="J93" s="3"/>
      <c r="K93" s="3" t="s">
        <v>27</v>
      </c>
      <c r="L93" s="3" t="s">
        <v>242</v>
      </c>
      <c r="M93" s="2"/>
      <c r="N93" s="3" t="n">
        <f aca="false">IF(AND(I93="Operational",OR(H93="operational_IT",H93="operational_critical",H93="operational_total",H93="combined")),G93,"")</f>
        <v>18</v>
      </c>
    </row>
    <row r="94" customFormat="false" ht="15" hidden="false" customHeight="false" outlineLevel="0" collapsed="false">
      <c r="A94" s="2" t="s">
        <v>245</v>
      </c>
      <c r="B94" s="3" t="s">
        <v>221</v>
      </c>
      <c r="C94" s="3" t="s">
        <v>221</v>
      </c>
      <c r="D94" s="3" t="s">
        <v>246</v>
      </c>
      <c r="E94" s="3" t="s">
        <v>218</v>
      </c>
      <c r="F94" s="3" t="s">
        <v>60</v>
      </c>
      <c r="G94" s="3" t="n">
        <v>12.5</v>
      </c>
      <c r="H94" s="3" t="s">
        <v>247</v>
      </c>
      <c r="I94" s="4" t="s">
        <v>20</v>
      </c>
      <c r="J94" s="3"/>
      <c r="K94" s="3" t="s">
        <v>45</v>
      </c>
      <c r="L94" s="3" t="s">
        <v>248</v>
      </c>
      <c r="M94" s="2" t="s">
        <v>249</v>
      </c>
      <c r="N94" s="3" t="str">
        <f aca="false">IF(AND(I94="Operational",OR(H94="operational_IT",H94="operational_critical",H94="operational_total",H94="combined")),G94,"")</f>
        <v/>
      </c>
    </row>
    <row r="95" customFormat="false" ht="15" hidden="false" customHeight="false" outlineLevel="0" collapsed="false">
      <c r="A95" s="2" t="s">
        <v>250</v>
      </c>
      <c r="B95" s="3" t="s">
        <v>221</v>
      </c>
      <c r="C95" s="3" t="s">
        <v>221</v>
      </c>
      <c r="D95" s="3" t="s">
        <v>67</v>
      </c>
      <c r="E95" s="3" t="s">
        <v>68</v>
      </c>
      <c r="F95" s="3" t="s">
        <v>69</v>
      </c>
      <c r="G95" s="3" t="n">
        <v>10</v>
      </c>
      <c r="H95" s="3" t="s">
        <v>106</v>
      </c>
      <c r="I95" s="4" t="s">
        <v>20</v>
      </c>
      <c r="J95" s="3"/>
      <c r="K95" s="3" t="s">
        <v>27</v>
      </c>
      <c r="L95" s="3" t="s">
        <v>251</v>
      </c>
      <c r="M95" s="2"/>
      <c r="N95" s="3" t="n">
        <f aca="false">IF(AND(I95="Operational",OR(H95="operational_IT",H95="operational_critical",H95="operational_total",H95="combined")),G95,"")</f>
        <v>10</v>
      </c>
    </row>
    <row r="96" customFormat="false" ht="15" hidden="false" customHeight="false" outlineLevel="0" collapsed="false">
      <c r="A96" s="2" t="s">
        <v>252</v>
      </c>
      <c r="B96" s="3" t="s">
        <v>221</v>
      </c>
      <c r="C96" s="3" t="s">
        <v>221</v>
      </c>
      <c r="D96" s="3" t="s">
        <v>98</v>
      </c>
      <c r="E96" s="3" t="s">
        <v>99</v>
      </c>
      <c r="F96" s="3" t="s">
        <v>69</v>
      </c>
      <c r="G96" s="3" t="n">
        <v>1.8</v>
      </c>
      <c r="H96" s="3" t="s">
        <v>106</v>
      </c>
      <c r="I96" s="4" t="s">
        <v>20</v>
      </c>
      <c r="J96" s="3"/>
      <c r="K96" s="3" t="s">
        <v>27</v>
      </c>
      <c r="L96" s="3" t="s">
        <v>251</v>
      </c>
      <c r="M96" s="2"/>
      <c r="N96" s="3" t="n">
        <f aca="false">IF(AND(I96="Operational",OR(H96="operational_IT",H96="operational_critical",H96="operational_total",H96="combined")),G96,"")</f>
        <v>1.8</v>
      </c>
    </row>
    <row r="97" customFormat="false" ht="15" hidden="false" customHeight="false" outlineLevel="0" collapsed="false">
      <c r="A97" s="2" t="s">
        <v>253</v>
      </c>
      <c r="B97" s="3" t="s">
        <v>221</v>
      </c>
      <c r="C97" s="3" t="s">
        <v>221</v>
      </c>
      <c r="D97" s="3" t="s">
        <v>38</v>
      </c>
      <c r="E97" s="3" t="s">
        <v>39</v>
      </c>
      <c r="F97" s="3" t="s">
        <v>40</v>
      </c>
      <c r="G97" s="3" t="n">
        <v>10</v>
      </c>
      <c r="H97" s="3" t="s">
        <v>106</v>
      </c>
      <c r="I97" s="4" t="s">
        <v>20</v>
      </c>
      <c r="J97" s="3"/>
      <c r="K97" s="3" t="s">
        <v>27</v>
      </c>
      <c r="L97" s="3" t="s">
        <v>254</v>
      </c>
      <c r="M97" s="2"/>
      <c r="N97" s="3" t="n">
        <f aca="false">IF(AND(I97="Operational",OR(H97="operational_IT",H97="operational_critical",H97="operational_total",H97="combined")),G97,"")</f>
        <v>10</v>
      </c>
    </row>
    <row r="98" customFormat="false" ht="15" hidden="false" customHeight="false" outlineLevel="0" collapsed="false">
      <c r="A98" s="2" t="s">
        <v>255</v>
      </c>
      <c r="B98" s="3" t="s">
        <v>221</v>
      </c>
      <c r="C98" s="3" t="s">
        <v>221</v>
      </c>
      <c r="D98" s="3" t="s">
        <v>38</v>
      </c>
      <c r="E98" s="3" t="s">
        <v>39</v>
      </c>
      <c r="F98" s="3" t="s">
        <v>40</v>
      </c>
      <c r="G98" s="3" t="n">
        <v>200</v>
      </c>
      <c r="H98" s="3" t="s">
        <v>34</v>
      </c>
      <c r="I98" s="5" t="s">
        <v>35</v>
      </c>
      <c r="J98" s="3"/>
      <c r="K98" s="3" t="s">
        <v>21</v>
      </c>
      <c r="L98" s="3" t="s">
        <v>256</v>
      </c>
      <c r="M98" s="2" t="s">
        <v>257</v>
      </c>
      <c r="N98" s="3" t="str">
        <f aca="false">IF(AND(I98="Operational",OR(H98="operational_IT",H98="operational_critical",H98="operational_total",H98="combined")),G98,"")</f>
        <v/>
      </c>
    </row>
    <row r="99" customFormat="false" ht="15" hidden="false" customHeight="false" outlineLevel="0" collapsed="false">
      <c r="A99" s="2" t="s">
        <v>258</v>
      </c>
      <c r="B99" s="3" t="s">
        <v>221</v>
      </c>
      <c r="C99" s="3" t="s">
        <v>221</v>
      </c>
      <c r="D99" s="3" t="s">
        <v>259</v>
      </c>
      <c r="E99" s="3" t="s">
        <v>259</v>
      </c>
      <c r="F99" s="3" t="s">
        <v>259</v>
      </c>
      <c r="G99" s="3"/>
      <c r="H99" s="3" t="s">
        <v>260</v>
      </c>
      <c r="I99" s="4" t="s">
        <v>20</v>
      </c>
      <c r="J99" s="3"/>
      <c r="K99" s="3" t="s">
        <v>21</v>
      </c>
      <c r="L99" s="3" t="s">
        <v>261</v>
      </c>
      <c r="M99" s="2" t="s">
        <v>262</v>
      </c>
      <c r="N99" s="3" t="str">
        <f aca="false">IF(AND(I99="Operational",OR(H99="operational_IT",H99="operational_critical",H99="operational_total",H99="combined")),G99,"")</f>
        <v/>
      </c>
    </row>
    <row r="100" customFormat="false" ht="15" hidden="false" customHeight="false" outlineLevel="0" collapsed="false">
      <c r="A100" s="2" t="s">
        <v>263</v>
      </c>
      <c r="B100" s="3" t="s">
        <v>264</v>
      </c>
      <c r="C100" s="3" t="s">
        <v>264</v>
      </c>
      <c r="D100" s="3" t="s">
        <v>49</v>
      </c>
      <c r="E100" s="3" t="s">
        <v>50</v>
      </c>
      <c r="F100" s="3" t="s">
        <v>40</v>
      </c>
      <c r="G100" s="3" t="n">
        <v>33</v>
      </c>
      <c r="H100" s="3" t="s">
        <v>106</v>
      </c>
      <c r="I100" s="4" t="s">
        <v>20</v>
      </c>
      <c r="J100" s="3"/>
      <c r="K100" s="3" t="s">
        <v>27</v>
      </c>
      <c r="L100" s="3" t="s">
        <v>265</v>
      </c>
      <c r="M100" s="2" t="s">
        <v>266</v>
      </c>
      <c r="N100" s="3" t="n">
        <f aca="false">IF(AND(I100="Operational",OR(H100="operational_IT",H100="operational_critical",H100="operational_total",H100="combined")),G100,"")</f>
        <v>33</v>
      </c>
    </row>
    <row r="101" customFormat="false" ht="15" hidden="false" customHeight="false" outlineLevel="0" collapsed="false">
      <c r="A101" s="2" t="s">
        <v>267</v>
      </c>
      <c r="B101" s="3" t="s">
        <v>264</v>
      </c>
      <c r="C101" s="3" t="s">
        <v>264</v>
      </c>
      <c r="D101" s="3" t="s">
        <v>38</v>
      </c>
      <c r="E101" s="3" t="s">
        <v>39</v>
      </c>
      <c r="F101" s="3" t="s">
        <v>40</v>
      </c>
      <c r="G101" s="3" t="n">
        <v>600</v>
      </c>
      <c r="H101" s="3" t="s">
        <v>34</v>
      </c>
      <c r="I101" s="5" t="s">
        <v>35</v>
      </c>
      <c r="J101" s="3"/>
      <c r="K101" s="3" t="s">
        <v>21</v>
      </c>
      <c r="L101" s="3" t="s">
        <v>265</v>
      </c>
      <c r="M101" s="2" t="s">
        <v>268</v>
      </c>
      <c r="N101" s="3" t="str">
        <f aca="false">IF(AND(I101="Operational",OR(H101="operational_IT",H101="operational_critical",H101="operational_total",H101="combined")),G101,"")</f>
        <v/>
      </c>
    </row>
    <row r="102" customFormat="false" ht="15" hidden="false" customHeight="false" outlineLevel="0" collapsed="false">
      <c r="A102" s="2" t="s">
        <v>269</v>
      </c>
      <c r="B102" s="3" t="s">
        <v>264</v>
      </c>
      <c r="C102" s="3" t="s">
        <v>264</v>
      </c>
      <c r="D102" s="3" t="s">
        <v>58</v>
      </c>
      <c r="E102" s="3" t="s">
        <v>59</v>
      </c>
      <c r="F102" s="3" t="s">
        <v>60</v>
      </c>
      <c r="G102" s="3" t="n">
        <v>150</v>
      </c>
      <c r="H102" s="3" t="s">
        <v>34</v>
      </c>
      <c r="I102" s="5" t="s">
        <v>35</v>
      </c>
      <c r="J102" s="3"/>
      <c r="K102" s="3" t="s">
        <v>21</v>
      </c>
      <c r="L102" s="3" t="s">
        <v>265</v>
      </c>
      <c r="M102" s="2" t="s">
        <v>270</v>
      </c>
      <c r="N102" s="3" t="str">
        <f aca="false">IF(AND(I102="Operational",OR(H102="operational_IT",H102="operational_critical",H102="operational_total",H102="combined")),G102,"")</f>
        <v/>
      </c>
    </row>
    <row r="103" customFormat="false" ht="15" hidden="false" customHeight="false" outlineLevel="0" collapsed="false">
      <c r="A103" s="2" t="s">
        <v>271</v>
      </c>
      <c r="B103" s="3" t="s">
        <v>264</v>
      </c>
      <c r="C103" s="3" t="s">
        <v>264</v>
      </c>
      <c r="D103" s="3" t="s">
        <v>33</v>
      </c>
      <c r="E103" s="3" t="s">
        <v>17</v>
      </c>
      <c r="F103" s="3" t="s">
        <v>18</v>
      </c>
      <c r="G103" s="3" t="n">
        <v>1000</v>
      </c>
      <c r="H103" s="3" t="s">
        <v>34</v>
      </c>
      <c r="I103" s="6" t="s">
        <v>44</v>
      </c>
      <c r="J103" s="3"/>
      <c r="K103" s="3" t="s">
        <v>21</v>
      </c>
      <c r="L103" s="3" t="s">
        <v>265</v>
      </c>
      <c r="M103" s="2"/>
      <c r="N103" s="3" t="str">
        <f aca="false">IF(AND(I103="Operational",OR(H103="operational_IT",H103="operational_critical",H103="operational_total",H103="combined")),G103,"")</f>
        <v/>
      </c>
    </row>
    <row r="104" customFormat="false" ht="15" hidden="false" customHeight="false" outlineLevel="0" collapsed="false">
      <c r="A104" s="2" t="s">
        <v>272</v>
      </c>
      <c r="B104" s="3" t="s">
        <v>264</v>
      </c>
      <c r="C104" s="3" t="s">
        <v>264</v>
      </c>
      <c r="D104" s="3" t="s">
        <v>169</v>
      </c>
      <c r="E104" s="3" t="s">
        <v>17</v>
      </c>
      <c r="F104" s="3" t="s">
        <v>18</v>
      </c>
      <c r="G104" s="3" t="n">
        <v>250</v>
      </c>
      <c r="H104" s="3" t="s">
        <v>34</v>
      </c>
      <c r="I104" s="6" t="s">
        <v>44</v>
      </c>
      <c r="J104" s="3"/>
      <c r="K104" s="3" t="s">
        <v>21</v>
      </c>
      <c r="L104" s="3" t="s">
        <v>265</v>
      </c>
      <c r="M104" s="2"/>
      <c r="N104" s="3" t="str">
        <f aca="false">IF(AND(I104="Operational",OR(H104="operational_IT",H104="operational_critical",H104="operational_total",H104="combined")),G104,"")</f>
        <v/>
      </c>
    </row>
    <row r="105" customFormat="false" ht="15" hidden="false" customHeight="false" outlineLevel="0" collapsed="false">
      <c r="A105" s="2" t="s">
        <v>273</v>
      </c>
      <c r="B105" s="3" t="s">
        <v>274</v>
      </c>
      <c r="C105" s="3" t="s">
        <v>264</v>
      </c>
      <c r="D105" s="3" t="s">
        <v>147</v>
      </c>
      <c r="E105" s="3" t="s">
        <v>148</v>
      </c>
      <c r="F105" s="3" t="s">
        <v>40</v>
      </c>
      <c r="G105" s="3" t="n">
        <v>1000</v>
      </c>
      <c r="H105" s="3" t="s">
        <v>34</v>
      </c>
      <c r="I105" s="5" t="s">
        <v>35</v>
      </c>
      <c r="J105" s="3"/>
      <c r="K105" s="3" t="s">
        <v>21</v>
      </c>
      <c r="L105" s="3" t="s">
        <v>275</v>
      </c>
      <c r="M105" s="2" t="s">
        <v>276</v>
      </c>
      <c r="N105" s="3" t="str">
        <f aca="false">IF(AND(I105="Operational",OR(H105="operational_IT",H105="operational_critical",H105="operational_total",H105="combined")),G105,"")</f>
        <v/>
      </c>
    </row>
    <row r="106" customFormat="false" ht="15" hidden="false" customHeight="false" outlineLevel="0" collapsed="false">
      <c r="A106" s="2" t="s">
        <v>277</v>
      </c>
      <c r="B106" s="3" t="s">
        <v>278</v>
      </c>
      <c r="C106" s="3" t="s">
        <v>278</v>
      </c>
      <c r="D106" s="3" t="s">
        <v>279</v>
      </c>
      <c r="E106" s="3" t="s">
        <v>82</v>
      </c>
      <c r="F106" s="3" t="s">
        <v>18</v>
      </c>
      <c r="G106" s="3" t="n">
        <v>120</v>
      </c>
      <c r="H106" s="3" t="s">
        <v>34</v>
      </c>
      <c r="I106" s="5" t="s">
        <v>35</v>
      </c>
      <c r="J106" s="3"/>
      <c r="K106" s="3" t="s">
        <v>21</v>
      </c>
      <c r="L106" s="3" t="s">
        <v>280</v>
      </c>
      <c r="M106" s="2" t="s">
        <v>281</v>
      </c>
      <c r="N106" s="3" t="str">
        <f aca="false">IF(AND(I106="Operational",OR(H106="operational_IT",H106="operational_critical",H106="operational_total",H106="combined")),G106,"")</f>
        <v/>
      </c>
    </row>
    <row r="107" customFormat="false" ht="15" hidden="false" customHeight="false" outlineLevel="0" collapsed="false">
      <c r="A107" s="2" t="s">
        <v>282</v>
      </c>
      <c r="B107" s="3" t="s">
        <v>283</v>
      </c>
      <c r="C107" s="3" t="s">
        <v>284</v>
      </c>
      <c r="D107" s="3" t="s">
        <v>49</v>
      </c>
      <c r="E107" s="3" t="s">
        <v>50</v>
      </c>
      <c r="F107" s="3" t="s">
        <v>40</v>
      </c>
      <c r="G107" s="3" t="n">
        <v>20</v>
      </c>
      <c r="H107" s="3" t="s">
        <v>106</v>
      </c>
      <c r="I107" s="4" t="s">
        <v>20</v>
      </c>
      <c r="J107" s="3" t="n">
        <v>196000</v>
      </c>
      <c r="K107" s="3" t="s">
        <v>27</v>
      </c>
      <c r="L107" s="3" t="s">
        <v>285</v>
      </c>
      <c r="M107" s="2" t="s">
        <v>286</v>
      </c>
      <c r="N107" s="3" t="n">
        <f aca="false">IF(AND(I107="Operational",OR(H107="operational_IT",H107="operational_critical",H107="operational_total",H107="combined")),G107,"")</f>
        <v>20</v>
      </c>
    </row>
    <row r="108" customFormat="false" ht="15" hidden="false" customHeight="false" outlineLevel="0" collapsed="false">
      <c r="A108" s="2" t="s">
        <v>287</v>
      </c>
      <c r="B108" s="3" t="s">
        <v>283</v>
      </c>
      <c r="C108" s="3" t="s">
        <v>284</v>
      </c>
      <c r="D108" s="3" t="s">
        <v>16</v>
      </c>
      <c r="E108" s="3" t="s">
        <v>17</v>
      </c>
      <c r="F108" s="3" t="s">
        <v>18</v>
      </c>
      <c r="G108" s="3" t="n">
        <v>40</v>
      </c>
      <c r="H108" s="3" t="s">
        <v>34</v>
      </c>
      <c r="I108" s="5" t="s">
        <v>35</v>
      </c>
      <c r="J108" s="3"/>
      <c r="K108" s="3" t="s">
        <v>27</v>
      </c>
      <c r="L108" s="3" t="s">
        <v>288</v>
      </c>
      <c r="M108" s="2"/>
      <c r="N108" s="3" t="str">
        <f aca="false">IF(AND(I108="Operational",OR(H108="operational_IT",H108="operational_critical",H108="operational_total",H108="combined")),G108,"")</f>
        <v/>
      </c>
    </row>
    <row r="109" customFormat="false" ht="15" hidden="false" customHeight="false" outlineLevel="0" collapsed="false">
      <c r="A109" s="2" t="s">
        <v>289</v>
      </c>
      <c r="B109" s="3" t="s">
        <v>283</v>
      </c>
      <c r="C109" s="3" t="s">
        <v>284</v>
      </c>
      <c r="D109" s="3" t="s">
        <v>147</v>
      </c>
      <c r="E109" s="3" t="s">
        <v>148</v>
      </c>
      <c r="F109" s="3" t="s">
        <v>40</v>
      </c>
      <c r="G109" s="3" t="n">
        <v>1000</v>
      </c>
      <c r="H109" s="3" t="s">
        <v>34</v>
      </c>
      <c r="I109" s="6" t="s">
        <v>44</v>
      </c>
      <c r="J109" s="3"/>
      <c r="K109" s="3" t="s">
        <v>21</v>
      </c>
      <c r="L109" s="3" t="s">
        <v>290</v>
      </c>
      <c r="M109" s="2" t="s">
        <v>291</v>
      </c>
      <c r="N109" s="3" t="str">
        <f aca="false">IF(AND(I109="Operational",OR(H109="operational_IT",H109="operational_critical",H109="operational_total",H109="combined")),G109,"")</f>
        <v/>
      </c>
    </row>
    <row r="110" customFormat="false" ht="15" hidden="false" customHeight="false" outlineLevel="0" collapsed="false">
      <c r="A110" s="2" t="s">
        <v>292</v>
      </c>
      <c r="B110" s="3" t="s">
        <v>293</v>
      </c>
      <c r="C110" s="3" t="s">
        <v>294</v>
      </c>
      <c r="D110" s="3" t="s">
        <v>295</v>
      </c>
      <c r="E110" s="3" t="s">
        <v>295</v>
      </c>
      <c r="F110" s="3" t="s">
        <v>295</v>
      </c>
      <c r="G110" s="3" t="n">
        <v>1000</v>
      </c>
      <c r="H110" s="3" t="s">
        <v>34</v>
      </c>
      <c r="I110" s="6" t="s">
        <v>44</v>
      </c>
      <c r="J110" s="3"/>
      <c r="K110" s="3" t="s">
        <v>21</v>
      </c>
      <c r="L110" s="3" t="s">
        <v>296</v>
      </c>
      <c r="M110" s="2" t="s">
        <v>297</v>
      </c>
      <c r="N110" s="3" t="str">
        <f aca="false">IF(AND(I110="Operational",OR(H110="operational_IT",H110="operational_critical",H110="operational_total",H110="combined")),G110,"")</f>
        <v/>
      </c>
    </row>
    <row r="111" customFormat="false" ht="15" hidden="false" customHeight="false" outlineLevel="0" collapsed="false">
      <c r="A111" s="2" t="s">
        <v>298</v>
      </c>
      <c r="B111" s="3" t="s">
        <v>299</v>
      </c>
      <c r="C111" s="3" t="s">
        <v>299</v>
      </c>
      <c r="D111" s="3" t="s">
        <v>16</v>
      </c>
      <c r="E111" s="3" t="s">
        <v>17</v>
      </c>
      <c r="F111" s="3" t="s">
        <v>18</v>
      </c>
      <c r="G111" s="3" t="n">
        <v>4</v>
      </c>
      <c r="H111" s="3" t="s">
        <v>106</v>
      </c>
      <c r="I111" s="4" t="s">
        <v>20</v>
      </c>
      <c r="J111" s="3"/>
      <c r="K111" s="3" t="s">
        <v>27</v>
      </c>
      <c r="L111" s="3" t="s">
        <v>300</v>
      </c>
      <c r="M111" s="2"/>
      <c r="N111" s="3" t="n">
        <f aca="false">IF(AND(I111="Operational",OR(H111="operational_IT",H111="operational_critical",H111="operational_total",H111="combined")),G111,"")</f>
        <v>4</v>
      </c>
    </row>
    <row r="112" customFormat="false" ht="15" hidden="false" customHeight="false" outlineLevel="0" collapsed="false">
      <c r="A112" s="2" t="s">
        <v>301</v>
      </c>
      <c r="B112" s="3" t="s">
        <v>299</v>
      </c>
      <c r="C112" s="3" t="s">
        <v>299</v>
      </c>
      <c r="D112" s="3" t="s">
        <v>16</v>
      </c>
      <c r="E112" s="3" t="s">
        <v>17</v>
      </c>
      <c r="F112" s="3" t="s">
        <v>18</v>
      </c>
      <c r="G112" s="3" t="n">
        <v>1</v>
      </c>
      <c r="H112" s="3" t="s">
        <v>106</v>
      </c>
      <c r="I112" s="4" t="s">
        <v>20</v>
      </c>
      <c r="J112" s="3"/>
      <c r="K112" s="3" t="s">
        <v>27</v>
      </c>
      <c r="L112" s="3" t="s">
        <v>300</v>
      </c>
      <c r="M112" s="2"/>
      <c r="N112" s="3" t="n">
        <f aca="false">IF(AND(I112="Operational",OR(H112="operational_IT",H112="operational_critical",H112="operational_total",H112="combined")),G112,"")</f>
        <v>1</v>
      </c>
    </row>
    <row r="113" customFormat="false" ht="15" hidden="false" customHeight="false" outlineLevel="0" collapsed="false">
      <c r="A113" s="2" t="s">
        <v>302</v>
      </c>
      <c r="B113" s="3" t="s">
        <v>299</v>
      </c>
      <c r="C113" s="3" t="s">
        <v>299</v>
      </c>
      <c r="D113" s="3" t="s">
        <v>16</v>
      </c>
      <c r="E113" s="3" t="s">
        <v>17</v>
      </c>
      <c r="F113" s="3" t="s">
        <v>18</v>
      </c>
      <c r="G113" s="3" t="n">
        <v>9</v>
      </c>
      <c r="H113" s="3" t="s">
        <v>106</v>
      </c>
      <c r="I113" s="4" t="s">
        <v>20</v>
      </c>
      <c r="J113" s="3"/>
      <c r="K113" s="3" t="s">
        <v>27</v>
      </c>
      <c r="L113" s="3" t="s">
        <v>300</v>
      </c>
      <c r="M113" s="2"/>
      <c r="N113" s="3" t="n">
        <f aca="false">IF(AND(I113="Operational",OR(H113="operational_IT",H113="operational_critical",H113="operational_total",H113="combined")),G113,"")</f>
        <v>9</v>
      </c>
    </row>
    <row r="114" customFormat="false" ht="15" hidden="false" customHeight="false" outlineLevel="0" collapsed="false">
      <c r="A114" s="2" t="s">
        <v>303</v>
      </c>
      <c r="B114" s="3" t="s">
        <v>299</v>
      </c>
      <c r="C114" s="3" t="s">
        <v>299</v>
      </c>
      <c r="D114" s="3" t="s">
        <v>33</v>
      </c>
      <c r="E114" s="3" t="s">
        <v>17</v>
      </c>
      <c r="F114" s="3" t="s">
        <v>18</v>
      </c>
      <c r="G114" s="3" t="n">
        <v>28</v>
      </c>
      <c r="H114" s="3" t="s">
        <v>34</v>
      </c>
      <c r="I114" s="5" t="s">
        <v>35</v>
      </c>
      <c r="J114" s="3"/>
      <c r="K114" s="3" t="s">
        <v>27</v>
      </c>
      <c r="L114" s="3" t="s">
        <v>300</v>
      </c>
      <c r="M114" s="2"/>
      <c r="N114" s="3" t="str">
        <f aca="false">IF(AND(I114="Operational",OR(H114="operational_IT",H114="operational_critical",H114="operational_total",H114="combined")),G114,"")</f>
        <v/>
      </c>
    </row>
    <row r="115" customFormat="false" ht="15" hidden="false" customHeight="false" outlineLevel="0" collapsed="false">
      <c r="A115" s="2" t="s">
        <v>304</v>
      </c>
      <c r="B115" s="3" t="s">
        <v>299</v>
      </c>
      <c r="C115" s="3" t="s">
        <v>299</v>
      </c>
      <c r="D115" s="3" t="s">
        <v>33</v>
      </c>
      <c r="E115" s="3" t="s">
        <v>17</v>
      </c>
      <c r="F115" s="3" t="s">
        <v>18</v>
      </c>
      <c r="G115" s="3" t="n">
        <v>49</v>
      </c>
      <c r="H115" s="3" t="s">
        <v>34</v>
      </c>
      <c r="I115" s="5" t="s">
        <v>35</v>
      </c>
      <c r="J115" s="3"/>
      <c r="K115" s="3" t="s">
        <v>27</v>
      </c>
      <c r="L115" s="3" t="s">
        <v>300</v>
      </c>
      <c r="M115" s="2"/>
      <c r="N115" s="3" t="str">
        <f aca="false">IF(AND(I115="Operational",OR(H115="operational_IT",H115="operational_critical",H115="operational_total",H115="combined")),G115,"")</f>
        <v/>
      </c>
    </row>
    <row r="116" customFormat="false" ht="15" hidden="false" customHeight="false" outlineLevel="0" collapsed="false">
      <c r="A116" s="2" t="s">
        <v>305</v>
      </c>
      <c r="B116" s="3" t="s">
        <v>299</v>
      </c>
      <c r="C116" s="3" t="s">
        <v>299</v>
      </c>
      <c r="D116" s="3" t="s">
        <v>33</v>
      </c>
      <c r="E116" s="3" t="s">
        <v>17</v>
      </c>
      <c r="F116" s="3" t="s">
        <v>18</v>
      </c>
      <c r="G116" s="3" t="n">
        <v>42</v>
      </c>
      <c r="H116" s="3" t="s">
        <v>34</v>
      </c>
      <c r="I116" s="5" t="s">
        <v>35</v>
      </c>
      <c r="J116" s="3"/>
      <c r="K116" s="3" t="s">
        <v>27</v>
      </c>
      <c r="L116" s="3" t="s">
        <v>300</v>
      </c>
      <c r="M116" s="2"/>
      <c r="N116" s="3" t="str">
        <f aca="false">IF(AND(I116="Operational",OR(H116="operational_IT",H116="operational_critical",H116="operational_total",H116="combined")),G116,"")</f>
        <v/>
      </c>
    </row>
    <row r="117" customFormat="false" ht="15" hidden="false" customHeight="false" outlineLevel="0" collapsed="false">
      <c r="A117" s="2" t="s">
        <v>306</v>
      </c>
      <c r="B117" s="3" t="s">
        <v>299</v>
      </c>
      <c r="C117" s="3" t="s">
        <v>299</v>
      </c>
      <c r="D117" s="3" t="s">
        <v>33</v>
      </c>
      <c r="E117" s="3" t="s">
        <v>17</v>
      </c>
      <c r="F117" s="3" t="s">
        <v>18</v>
      </c>
      <c r="G117" s="3" t="n">
        <v>36</v>
      </c>
      <c r="H117" s="3" t="s">
        <v>34</v>
      </c>
      <c r="I117" s="5" t="s">
        <v>35</v>
      </c>
      <c r="J117" s="3"/>
      <c r="K117" s="3" t="s">
        <v>27</v>
      </c>
      <c r="L117" s="3" t="s">
        <v>300</v>
      </c>
      <c r="M117" s="2"/>
      <c r="N117" s="3" t="str">
        <f aca="false">IF(AND(I117="Operational",OR(H117="operational_IT",H117="operational_critical",H117="operational_total",H117="combined")),G117,"")</f>
        <v/>
      </c>
    </row>
    <row r="118" customFormat="false" ht="15" hidden="false" customHeight="false" outlineLevel="0" collapsed="false">
      <c r="A118" s="2" t="s">
        <v>307</v>
      </c>
      <c r="B118" s="3" t="s">
        <v>299</v>
      </c>
      <c r="C118" s="3" t="s">
        <v>299</v>
      </c>
      <c r="D118" s="3" t="s">
        <v>33</v>
      </c>
      <c r="E118" s="3" t="s">
        <v>17</v>
      </c>
      <c r="F118" s="3" t="s">
        <v>18</v>
      </c>
      <c r="G118" s="3" t="n">
        <v>50</v>
      </c>
      <c r="H118" s="3" t="s">
        <v>34</v>
      </c>
      <c r="I118" s="5" t="s">
        <v>35</v>
      </c>
      <c r="J118" s="3"/>
      <c r="K118" s="3" t="s">
        <v>27</v>
      </c>
      <c r="L118" s="3" t="s">
        <v>300</v>
      </c>
      <c r="M118" s="2" t="s">
        <v>308</v>
      </c>
      <c r="N118" s="3" t="str">
        <f aca="false">IF(AND(I118="Operational",OR(H118="operational_IT",H118="operational_critical",H118="operational_total",H118="combined")),G118,"")</f>
        <v/>
      </c>
    </row>
    <row r="119" customFormat="false" ht="15" hidden="false" customHeight="false" outlineLevel="0" collapsed="false">
      <c r="A119" s="2" t="s">
        <v>309</v>
      </c>
      <c r="B119" s="3" t="s">
        <v>299</v>
      </c>
      <c r="C119" s="3" t="s">
        <v>299</v>
      </c>
      <c r="D119" s="3" t="s">
        <v>33</v>
      </c>
      <c r="E119" s="3" t="s">
        <v>17</v>
      </c>
      <c r="F119" s="3" t="s">
        <v>18</v>
      </c>
      <c r="G119" s="3" t="n">
        <v>60.5</v>
      </c>
      <c r="H119" s="3" t="s">
        <v>34</v>
      </c>
      <c r="I119" s="5" t="s">
        <v>35</v>
      </c>
      <c r="J119" s="3"/>
      <c r="K119" s="3" t="s">
        <v>27</v>
      </c>
      <c r="L119" s="3" t="s">
        <v>300</v>
      </c>
      <c r="M119" s="2"/>
      <c r="N119" s="3" t="str">
        <f aca="false">IF(AND(I119="Operational",OR(H119="operational_IT",H119="operational_critical",H119="operational_total",H119="combined")),G119,"")</f>
        <v/>
      </c>
    </row>
    <row r="120" customFormat="false" ht="15" hidden="false" customHeight="false" outlineLevel="0" collapsed="false">
      <c r="A120" s="2" t="s">
        <v>310</v>
      </c>
      <c r="B120" s="3" t="s">
        <v>299</v>
      </c>
      <c r="C120" s="3" t="s">
        <v>299</v>
      </c>
      <c r="D120" s="3" t="s">
        <v>33</v>
      </c>
      <c r="E120" s="3" t="s">
        <v>17</v>
      </c>
      <c r="F120" s="3" t="s">
        <v>18</v>
      </c>
      <c r="G120" s="3" t="n">
        <v>60.5</v>
      </c>
      <c r="H120" s="3" t="s">
        <v>34</v>
      </c>
      <c r="I120" s="5" t="s">
        <v>35</v>
      </c>
      <c r="J120" s="3"/>
      <c r="K120" s="3" t="s">
        <v>27</v>
      </c>
      <c r="L120" s="3" t="s">
        <v>300</v>
      </c>
      <c r="M120" s="2"/>
      <c r="N120" s="3" t="str">
        <f aca="false">IF(AND(I120="Operational",OR(H120="operational_IT",H120="operational_critical",H120="operational_total",H120="combined")),G120,"")</f>
        <v/>
      </c>
    </row>
    <row r="121" customFormat="false" ht="15" hidden="false" customHeight="false" outlineLevel="0" collapsed="false">
      <c r="A121" s="2" t="s">
        <v>311</v>
      </c>
      <c r="B121" s="3" t="s">
        <v>299</v>
      </c>
      <c r="C121" s="3" t="s">
        <v>299</v>
      </c>
      <c r="D121" s="3" t="s">
        <v>49</v>
      </c>
      <c r="E121" s="3" t="s">
        <v>50</v>
      </c>
      <c r="F121" s="3" t="s">
        <v>40</v>
      </c>
      <c r="G121" s="3" t="n">
        <v>3</v>
      </c>
      <c r="H121" s="3" t="s">
        <v>106</v>
      </c>
      <c r="I121" s="4" t="s">
        <v>20</v>
      </c>
      <c r="J121" s="3" t="n">
        <v>80000</v>
      </c>
      <c r="K121" s="3" t="s">
        <v>27</v>
      </c>
      <c r="L121" s="3" t="s">
        <v>312</v>
      </c>
      <c r="M121" s="2"/>
      <c r="N121" s="3" t="n">
        <f aca="false">IF(AND(I121="Operational",OR(H121="operational_IT",H121="operational_critical",H121="operational_total",H121="combined")),G121,"")</f>
        <v>3</v>
      </c>
    </row>
    <row r="122" customFormat="false" ht="15" hidden="false" customHeight="false" outlineLevel="0" collapsed="false">
      <c r="A122" s="2" t="s">
        <v>313</v>
      </c>
      <c r="B122" s="3" t="s">
        <v>299</v>
      </c>
      <c r="C122" s="3" t="s">
        <v>299</v>
      </c>
      <c r="D122" s="3" t="s">
        <v>49</v>
      </c>
      <c r="E122" s="3" t="s">
        <v>50</v>
      </c>
      <c r="F122" s="3" t="s">
        <v>40</v>
      </c>
      <c r="G122" s="3" t="n">
        <v>26</v>
      </c>
      <c r="H122" s="3" t="s">
        <v>106</v>
      </c>
      <c r="I122" s="4" t="s">
        <v>20</v>
      </c>
      <c r="J122" s="3"/>
      <c r="K122" s="3" t="s">
        <v>27</v>
      </c>
      <c r="L122" s="3" t="s">
        <v>312</v>
      </c>
      <c r="M122" s="2"/>
      <c r="N122" s="3" t="n">
        <f aca="false">IF(AND(I122="Operational",OR(H122="operational_IT",H122="operational_critical",H122="operational_total",H122="combined")),G122,"")</f>
        <v>26</v>
      </c>
    </row>
    <row r="123" customFormat="false" ht="15" hidden="false" customHeight="false" outlineLevel="0" collapsed="false">
      <c r="A123" s="2" t="s">
        <v>314</v>
      </c>
      <c r="B123" s="3" t="s">
        <v>299</v>
      </c>
      <c r="C123" s="3" t="s">
        <v>299</v>
      </c>
      <c r="D123" s="3" t="s">
        <v>49</v>
      </c>
      <c r="E123" s="3" t="s">
        <v>50</v>
      </c>
      <c r="F123" s="3" t="s">
        <v>40</v>
      </c>
      <c r="G123" s="3" t="n">
        <v>15</v>
      </c>
      <c r="H123" s="3" t="s">
        <v>106</v>
      </c>
      <c r="I123" s="4" t="s">
        <v>20</v>
      </c>
      <c r="J123" s="3"/>
      <c r="K123" s="3" t="s">
        <v>27</v>
      </c>
      <c r="L123" s="3" t="s">
        <v>312</v>
      </c>
      <c r="M123" s="2"/>
      <c r="N123" s="3" t="n">
        <f aca="false">IF(AND(I123="Operational",OR(H123="operational_IT",H123="operational_critical",H123="operational_total",H123="combined")),G123,"")</f>
        <v>15</v>
      </c>
    </row>
    <row r="124" customFormat="false" ht="15" hidden="false" customHeight="false" outlineLevel="0" collapsed="false">
      <c r="A124" s="2" t="s">
        <v>315</v>
      </c>
      <c r="B124" s="3" t="s">
        <v>299</v>
      </c>
      <c r="C124" s="3" t="s">
        <v>299</v>
      </c>
      <c r="D124" s="3" t="s">
        <v>49</v>
      </c>
      <c r="E124" s="3" t="s">
        <v>50</v>
      </c>
      <c r="F124" s="3" t="s">
        <v>40</v>
      </c>
      <c r="G124" s="3" t="n">
        <v>17</v>
      </c>
      <c r="H124" s="3" t="s">
        <v>34</v>
      </c>
      <c r="I124" s="5" t="s">
        <v>35</v>
      </c>
      <c r="J124" s="3"/>
      <c r="K124" s="3" t="s">
        <v>27</v>
      </c>
      <c r="L124" s="3" t="s">
        <v>312</v>
      </c>
      <c r="M124" s="2"/>
      <c r="N124" s="3" t="str">
        <f aca="false">IF(AND(I124="Operational",OR(H124="operational_IT",H124="operational_critical",H124="operational_total",H124="combined")),G124,"")</f>
        <v/>
      </c>
    </row>
    <row r="125" customFormat="false" ht="15" hidden="false" customHeight="false" outlineLevel="0" collapsed="false">
      <c r="A125" s="2" t="s">
        <v>316</v>
      </c>
      <c r="B125" s="3" t="s">
        <v>299</v>
      </c>
      <c r="C125" s="3" t="s">
        <v>299</v>
      </c>
      <c r="D125" s="3" t="s">
        <v>49</v>
      </c>
      <c r="E125" s="3" t="s">
        <v>50</v>
      </c>
      <c r="F125" s="3" t="s">
        <v>40</v>
      </c>
      <c r="G125" s="3" t="n">
        <v>7.2</v>
      </c>
      <c r="H125" s="3" t="s">
        <v>106</v>
      </c>
      <c r="I125" s="4" t="s">
        <v>20</v>
      </c>
      <c r="J125" s="3"/>
      <c r="K125" s="3" t="s">
        <v>27</v>
      </c>
      <c r="L125" s="3" t="s">
        <v>312</v>
      </c>
      <c r="M125" s="2"/>
      <c r="N125" s="3" t="n">
        <f aca="false">IF(AND(I125="Operational",OR(H125="operational_IT",H125="operational_critical",H125="operational_total",H125="combined")),G125,"")</f>
        <v>7.2</v>
      </c>
    </row>
    <row r="126" customFormat="false" ht="15" hidden="false" customHeight="false" outlineLevel="0" collapsed="false">
      <c r="A126" s="2" t="s">
        <v>317</v>
      </c>
      <c r="B126" s="3" t="s">
        <v>299</v>
      </c>
      <c r="C126" s="3" t="s">
        <v>299</v>
      </c>
      <c r="D126" s="3" t="s">
        <v>63</v>
      </c>
      <c r="E126" s="3" t="s">
        <v>64</v>
      </c>
      <c r="F126" s="3" t="s">
        <v>40</v>
      </c>
      <c r="G126" s="3" t="n">
        <v>0.6</v>
      </c>
      <c r="H126" s="3" t="s">
        <v>106</v>
      </c>
      <c r="I126" s="4" t="s">
        <v>20</v>
      </c>
      <c r="J126" s="3"/>
      <c r="K126" s="3" t="s">
        <v>27</v>
      </c>
      <c r="L126" s="3" t="s">
        <v>318</v>
      </c>
      <c r="M126" s="2"/>
      <c r="N126" s="3" t="n">
        <f aca="false">IF(AND(I126="Operational",OR(H126="operational_IT",H126="operational_critical",H126="operational_total",H126="combined")),G126,"")</f>
        <v>0.6</v>
      </c>
    </row>
    <row r="127" customFormat="false" ht="15" hidden="false" customHeight="false" outlineLevel="0" collapsed="false">
      <c r="A127" s="2" t="s">
        <v>319</v>
      </c>
      <c r="B127" s="3" t="s">
        <v>299</v>
      </c>
      <c r="C127" s="3" t="s">
        <v>299</v>
      </c>
      <c r="D127" s="3" t="s">
        <v>63</v>
      </c>
      <c r="E127" s="3" t="s">
        <v>64</v>
      </c>
      <c r="F127" s="3" t="s">
        <v>40</v>
      </c>
      <c r="G127" s="3" t="n">
        <v>4</v>
      </c>
      <c r="H127" s="3" t="s">
        <v>106</v>
      </c>
      <c r="I127" s="4" t="s">
        <v>20</v>
      </c>
      <c r="J127" s="3"/>
      <c r="K127" s="3" t="s">
        <v>27</v>
      </c>
      <c r="L127" s="3" t="s">
        <v>318</v>
      </c>
      <c r="M127" s="2"/>
      <c r="N127" s="3" t="n">
        <f aca="false">IF(AND(I127="Operational",OR(H127="operational_IT",H127="operational_critical",H127="operational_total",H127="combined")),G127,"")</f>
        <v>4</v>
      </c>
    </row>
    <row r="128" customFormat="false" ht="15" hidden="false" customHeight="false" outlineLevel="0" collapsed="false">
      <c r="A128" s="2" t="s">
        <v>320</v>
      </c>
      <c r="B128" s="3" t="s">
        <v>299</v>
      </c>
      <c r="C128" s="3" t="s">
        <v>299</v>
      </c>
      <c r="D128" s="3" t="s">
        <v>63</v>
      </c>
      <c r="E128" s="3" t="s">
        <v>64</v>
      </c>
      <c r="F128" s="3" t="s">
        <v>40</v>
      </c>
      <c r="G128" s="3" t="n">
        <v>18</v>
      </c>
      <c r="H128" s="3" t="s">
        <v>106</v>
      </c>
      <c r="I128" s="4" t="s">
        <v>20</v>
      </c>
      <c r="J128" s="3"/>
      <c r="K128" s="3" t="s">
        <v>27</v>
      </c>
      <c r="L128" s="3" t="s">
        <v>318</v>
      </c>
      <c r="M128" s="2"/>
      <c r="N128" s="3" t="n">
        <f aca="false">IF(AND(I128="Operational",OR(H128="operational_IT",H128="operational_critical",H128="operational_total",H128="combined")),G128,"")</f>
        <v>18</v>
      </c>
    </row>
    <row r="129" customFormat="false" ht="15" hidden="false" customHeight="false" outlineLevel="0" collapsed="false">
      <c r="A129" s="2" t="s">
        <v>321</v>
      </c>
      <c r="B129" s="3" t="s">
        <v>299</v>
      </c>
      <c r="C129" s="3" t="s">
        <v>299</v>
      </c>
      <c r="D129" s="3" t="s">
        <v>58</v>
      </c>
      <c r="E129" s="3" t="s">
        <v>59</v>
      </c>
      <c r="F129" s="3" t="s">
        <v>60</v>
      </c>
      <c r="G129" s="3" t="n">
        <v>17</v>
      </c>
      <c r="H129" s="3" t="s">
        <v>106</v>
      </c>
      <c r="I129" s="4" t="s">
        <v>20</v>
      </c>
      <c r="J129" s="3"/>
      <c r="K129" s="3" t="s">
        <v>27</v>
      </c>
      <c r="L129" s="3" t="s">
        <v>322</v>
      </c>
      <c r="M129" s="2"/>
      <c r="N129" s="3" t="n">
        <f aca="false">IF(AND(I129="Operational",OR(H129="operational_IT",H129="operational_critical",H129="operational_total",H129="combined")),G129,"")</f>
        <v>17</v>
      </c>
    </row>
    <row r="130" customFormat="false" ht="15" hidden="false" customHeight="false" outlineLevel="0" collapsed="false">
      <c r="A130" s="2" t="s">
        <v>323</v>
      </c>
      <c r="B130" s="3" t="s">
        <v>299</v>
      </c>
      <c r="C130" s="3" t="s">
        <v>299</v>
      </c>
      <c r="D130" s="3" t="s">
        <v>58</v>
      </c>
      <c r="E130" s="3" t="s">
        <v>59</v>
      </c>
      <c r="F130" s="3" t="s">
        <v>60</v>
      </c>
      <c r="G130" s="3" t="n">
        <v>22</v>
      </c>
      <c r="H130" s="3" t="s">
        <v>34</v>
      </c>
      <c r="I130" s="5" t="s">
        <v>35</v>
      </c>
      <c r="J130" s="3"/>
      <c r="K130" s="3" t="s">
        <v>27</v>
      </c>
      <c r="L130" s="3" t="s">
        <v>322</v>
      </c>
      <c r="M130" s="2"/>
      <c r="N130" s="3" t="str">
        <f aca="false">IF(AND(I130="Operational",OR(H130="operational_IT",H130="operational_critical",H130="operational_total",H130="combined")),G130,"")</f>
        <v/>
      </c>
    </row>
    <row r="131" customFormat="false" ht="15" hidden="false" customHeight="false" outlineLevel="0" collapsed="false">
      <c r="A131" s="2" t="s">
        <v>324</v>
      </c>
      <c r="B131" s="3" t="s">
        <v>299</v>
      </c>
      <c r="C131" s="3" t="s">
        <v>299</v>
      </c>
      <c r="D131" s="3" t="s">
        <v>58</v>
      </c>
      <c r="E131" s="3" t="s">
        <v>59</v>
      </c>
      <c r="F131" s="3" t="s">
        <v>60</v>
      </c>
      <c r="G131" s="3" t="n">
        <v>28</v>
      </c>
      <c r="H131" s="3" t="s">
        <v>34</v>
      </c>
      <c r="I131" s="5" t="s">
        <v>35</v>
      </c>
      <c r="J131" s="3"/>
      <c r="K131" s="3" t="s">
        <v>27</v>
      </c>
      <c r="L131" s="3" t="s">
        <v>322</v>
      </c>
      <c r="M131" s="2"/>
      <c r="N131" s="3" t="str">
        <f aca="false">IF(AND(I131="Operational",OR(H131="operational_IT",H131="operational_critical",H131="operational_total",H131="combined")),G131,"")</f>
        <v/>
      </c>
    </row>
    <row r="132" customFormat="false" ht="15" hidden="false" customHeight="false" outlineLevel="0" collapsed="false">
      <c r="A132" s="2" t="s">
        <v>325</v>
      </c>
      <c r="B132" s="3" t="s">
        <v>299</v>
      </c>
      <c r="C132" s="3" t="s">
        <v>299</v>
      </c>
      <c r="D132" s="3" t="s">
        <v>326</v>
      </c>
      <c r="E132" s="3" t="s">
        <v>326</v>
      </c>
      <c r="F132" s="3" t="s">
        <v>60</v>
      </c>
      <c r="G132" s="3" t="n">
        <v>0.9</v>
      </c>
      <c r="H132" s="3" t="s">
        <v>106</v>
      </c>
      <c r="I132" s="4" t="s">
        <v>20</v>
      </c>
      <c r="J132" s="3"/>
      <c r="K132" s="3" t="s">
        <v>27</v>
      </c>
      <c r="L132" s="3" t="s">
        <v>327</v>
      </c>
      <c r="M132" s="2"/>
      <c r="N132" s="3" t="n">
        <f aca="false">IF(AND(I132="Operational",OR(H132="operational_IT",H132="operational_critical",H132="operational_total",H132="combined")),G132,"")</f>
        <v>0.9</v>
      </c>
    </row>
    <row r="133" customFormat="false" ht="15" hidden="false" customHeight="false" outlineLevel="0" collapsed="false">
      <c r="A133" s="2" t="s">
        <v>328</v>
      </c>
      <c r="B133" s="3" t="s">
        <v>299</v>
      </c>
      <c r="C133" s="3" t="s">
        <v>299</v>
      </c>
      <c r="D133" s="3" t="s">
        <v>326</v>
      </c>
      <c r="E133" s="3" t="s">
        <v>326</v>
      </c>
      <c r="F133" s="3" t="s">
        <v>60</v>
      </c>
      <c r="G133" s="3" t="n">
        <v>1</v>
      </c>
      <c r="H133" s="3" t="s">
        <v>106</v>
      </c>
      <c r="I133" s="4" t="s">
        <v>20</v>
      </c>
      <c r="J133" s="3"/>
      <c r="K133" s="3" t="s">
        <v>27</v>
      </c>
      <c r="L133" s="3" t="s">
        <v>327</v>
      </c>
      <c r="M133" s="2"/>
      <c r="N133" s="3" t="n">
        <f aca="false">IF(AND(I133="Operational",OR(H133="operational_IT",H133="operational_critical",H133="operational_total",H133="combined")),G133,"")</f>
        <v>1</v>
      </c>
    </row>
    <row r="134" customFormat="false" ht="15" hidden="false" customHeight="false" outlineLevel="0" collapsed="false">
      <c r="A134" s="2" t="s">
        <v>329</v>
      </c>
      <c r="B134" s="3" t="s">
        <v>299</v>
      </c>
      <c r="C134" s="3" t="s">
        <v>299</v>
      </c>
      <c r="D134" s="3" t="s">
        <v>326</v>
      </c>
      <c r="E134" s="3" t="s">
        <v>326</v>
      </c>
      <c r="F134" s="3" t="s">
        <v>60</v>
      </c>
      <c r="G134" s="3" t="n">
        <v>10.1</v>
      </c>
      <c r="H134" s="3" t="s">
        <v>106</v>
      </c>
      <c r="I134" s="4" t="s">
        <v>20</v>
      </c>
      <c r="J134" s="3"/>
      <c r="K134" s="3" t="s">
        <v>27</v>
      </c>
      <c r="L134" s="3" t="s">
        <v>327</v>
      </c>
      <c r="M134" s="2"/>
      <c r="N134" s="3" t="n">
        <f aca="false">IF(AND(I134="Operational",OR(H134="operational_IT",H134="operational_critical",H134="operational_total",H134="combined")),G134,"")</f>
        <v>10.1</v>
      </c>
    </row>
    <row r="135" customFormat="false" ht="15" hidden="false" customHeight="false" outlineLevel="0" collapsed="false">
      <c r="A135" s="2" t="s">
        <v>330</v>
      </c>
      <c r="B135" s="3" t="s">
        <v>299</v>
      </c>
      <c r="C135" s="3" t="s">
        <v>299</v>
      </c>
      <c r="D135" s="3" t="s">
        <v>169</v>
      </c>
      <c r="E135" s="3" t="s">
        <v>17</v>
      </c>
      <c r="F135" s="3" t="s">
        <v>18</v>
      </c>
      <c r="G135" s="3" t="n">
        <v>9</v>
      </c>
      <c r="H135" s="3" t="s">
        <v>106</v>
      </c>
      <c r="I135" s="4" t="s">
        <v>20</v>
      </c>
      <c r="J135" s="3"/>
      <c r="K135" s="3" t="s">
        <v>27</v>
      </c>
      <c r="L135" s="3" t="s">
        <v>331</v>
      </c>
      <c r="M135" s="2"/>
      <c r="N135" s="3" t="n">
        <f aca="false">IF(AND(I135="Operational",OR(H135="operational_IT",H135="operational_critical",H135="operational_total",H135="combined")),G135,"")</f>
        <v>9</v>
      </c>
    </row>
    <row r="136" customFormat="false" ht="15" hidden="false" customHeight="false" outlineLevel="0" collapsed="false">
      <c r="A136" s="2" t="s">
        <v>332</v>
      </c>
      <c r="B136" s="3" t="s">
        <v>299</v>
      </c>
      <c r="C136" s="3" t="s">
        <v>299</v>
      </c>
      <c r="D136" s="3" t="s">
        <v>169</v>
      </c>
      <c r="E136" s="3" t="s">
        <v>17</v>
      </c>
      <c r="F136" s="3" t="s">
        <v>18</v>
      </c>
      <c r="G136" s="3" t="n">
        <v>15</v>
      </c>
      <c r="H136" s="3" t="s">
        <v>106</v>
      </c>
      <c r="I136" s="4" t="s">
        <v>20</v>
      </c>
      <c r="J136" s="3"/>
      <c r="K136" s="3" t="s">
        <v>27</v>
      </c>
      <c r="L136" s="3" t="s">
        <v>331</v>
      </c>
      <c r="M136" s="2"/>
      <c r="N136" s="3" t="n">
        <f aca="false">IF(AND(I136="Operational",OR(H136="operational_IT",H136="operational_critical",H136="operational_total",H136="combined")),G136,"")</f>
        <v>15</v>
      </c>
    </row>
    <row r="137" customFormat="false" ht="15" hidden="false" customHeight="false" outlineLevel="0" collapsed="false">
      <c r="A137" s="2" t="s">
        <v>333</v>
      </c>
      <c r="B137" s="3" t="s">
        <v>299</v>
      </c>
      <c r="C137" s="3" t="s">
        <v>299</v>
      </c>
      <c r="D137" s="3" t="s">
        <v>169</v>
      </c>
      <c r="E137" s="3" t="s">
        <v>17</v>
      </c>
      <c r="F137" s="3" t="s">
        <v>18</v>
      </c>
      <c r="G137" s="3" t="n">
        <v>15</v>
      </c>
      <c r="H137" s="3" t="s">
        <v>106</v>
      </c>
      <c r="I137" s="4" t="s">
        <v>20</v>
      </c>
      <c r="J137" s="3"/>
      <c r="K137" s="3" t="s">
        <v>27</v>
      </c>
      <c r="L137" s="3" t="s">
        <v>331</v>
      </c>
      <c r="M137" s="2"/>
      <c r="N137" s="3" t="n">
        <f aca="false">IF(AND(I137="Operational",OR(H137="operational_IT",H137="operational_critical",H137="operational_total",H137="combined")),G137,"")</f>
        <v>15</v>
      </c>
    </row>
    <row r="138" customFormat="false" ht="15" hidden="false" customHeight="false" outlineLevel="0" collapsed="false">
      <c r="A138" s="2" t="s">
        <v>334</v>
      </c>
      <c r="B138" s="3" t="s">
        <v>299</v>
      </c>
      <c r="C138" s="3" t="s">
        <v>299</v>
      </c>
      <c r="D138" s="3" t="s">
        <v>169</v>
      </c>
      <c r="E138" s="3" t="s">
        <v>17</v>
      </c>
      <c r="F138" s="3" t="s">
        <v>18</v>
      </c>
      <c r="G138" s="3" t="n">
        <v>18</v>
      </c>
      <c r="H138" s="3" t="s">
        <v>34</v>
      </c>
      <c r="I138" s="5" t="s">
        <v>35</v>
      </c>
      <c r="J138" s="3"/>
      <c r="K138" s="3" t="s">
        <v>21</v>
      </c>
      <c r="L138" s="3" t="s">
        <v>331</v>
      </c>
      <c r="M138" s="2"/>
      <c r="N138" s="3" t="str">
        <f aca="false">IF(AND(I138="Operational",OR(H138="operational_IT",H138="operational_critical",H138="operational_total",H138="combined")),G138,"")</f>
        <v/>
      </c>
    </row>
    <row r="139" customFormat="false" ht="15" hidden="false" customHeight="false" outlineLevel="0" collapsed="false">
      <c r="A139" s="2" t="s">
        <v>335</v>
      </c>
      <c r="B139" s="3" t="s">
        <v>299</v>
      </c>
      <c r="C139" s="3" t="s">
        <v>299</v>
      </c>
      <c r="D139" s="3" t="s">
        <v>169</v>
      </c>
      <c r="E139" s="3" t="s">
        <v>17</v>
      </c>
      <c r="F139" s="3" t="s">
        <v>18</v>
      </c>
      <c r="G139" s="3" t="n">
        <v>24</v>
      </c>
      <c r="H139" s="3" t="s">
        <v>34</v>
      </c>
      <c r="I139" s="5" t="s">
        <v>35</v>
      </c>
      <c r="J139" s="3"/>
      <c r="K139" s="3" t="s">
        <v>21</v>
      </c>
      <c r="L139" s="3" t="s">
        <v>331</v>
      </c>
      <c r="M139" s="2"/>
      <c r="N139" s="3" t="str">
        <f aca="false">IF(AND(I139="Operational",OR(H139="operational_IT",H139="operational_critical",H139="operational_total",H139="combined")),G139,"")</f>
        <v/>
      </c>
    </row>
    <row r="140" customFormat="false" ht="15" hidden="false" customHeight="false" outlineLevel="0" collapsed="false">
      <c r="A140" s="2" t="s">
        <v>336</v>
      </c>
      <c r="B140" s="3" t="s">
        <v>299</v>
      </c>
      <c r="C140" s="3" t="s">
        <v>299</v>
      </c>
      <c r="D140" s="3" t="s">
        <v>38</v>
      </c>
      <c r="E140" s="3" t="s">
        <v>39</v>
      </c>
      <c r="F140" s="3" t="s">
        <v>40</v>
      </c>
      <c r="G140" s="3" t="n">
        <v>4</v>
      </c>
      <c r="H140" s="3" t="s">
        <v>106</v>
      </c>
      <c r="I140" s="4" t="s">
        <v>20</v>
      </c>
      <c r="J140" s="3" t="n">
        <v>270000</v>
      </c>
      <c r="K140" s="3" t="s">
        <v>27</v>
      </c>
      <c r="L140" s="3" t="s">
        <v>337</v>
      </c>
      <c r="M140" s="2"/>
      <c r="N140" s="3" t="n">
        <f aca="false">IF(AND(I140="Operational",OR(H140="operational_IT",H140="operational_critical",H140="operational_total",H140="combined")),G140,"")</f>
        <v>4</v>
      </c>
    </row>
    <row r="141" customFormat="false" ht="15" hidden="false" customHeight="false" outlineLevel="0" collapsed="false">
      <c r="A141" s="2" t="s">
        <v>338</v>
      </c>
      <c r="B141" s="3" t="s">
        <v>299</v>
      </c>
      <c r="C141" s="3" t="s">
        <v>299</v>
      </c>
      <c r="D141" s="3" t="s">
        <v>67</v>
      </c>
      <c r="E141" s="3" t="s">
        <v>68</v>
      </c>
      <c r="F141" s="3" t="s">
        <v>69</v>
      </c>
      <c r="G141" s="3" t="n">
        <v>3</v>
      </c>
      <c r="H141" s="3" t="s">
        <v>106</v>
      </c>
      <c r="I141" s="4" t="s">
        <v>20</v>
      </c>
      <c r="J141" s="3" t="n">
        <v>20000</v>
      </c>
      <c r="K141" s="3" t="s">
        <v>27</v>
      </c>
      <c r="L141" s="3" t="s">
        <v>339</v>
      </c>
      <c r="M141" s="2"/>
      <c r="N141" s="3" t="n">
        <f aca="false">IF(AND(I141="Operational",OR(H141="operational_IT",H141="operational_critical",H141="operational_total",H141="combined")),G141,"")</f>
        <v>3</v>
      </c>
    </row>
    <row r="142" customFormat="false" ht="15" hidden="false" customHeight="false" outlineLevel="0" collapsed="false">
      <c r="A142" s="2" t="s">
        <v>340</v>
      </c>
      <c r="B142" s="3" t="s">
        <v>299</v>
      </c>
      <c r="C142" s="3" t="s">
        <v>299</v>
      </c>
      <c r="D142" s="3" t="s">
        <v>67</v>
      </c>
      <c r="E142" s="3" t="s">
        <v>68</v>
      </c>
      <c r="F142" s="3" t="s">
        <v>69</v>
      </c>
      <c r="G142" s="3" t="n">
        <v>6</v>
      </c>
      <c r="H142" s="3" t="s">
        <v>106</v>
      </c>
      <c r="I142" s="4" t="s">
        <v>20</v>
      </c>
      <c r="J142" s="3" t="n">
        <v>243000</v>
      </c>
      <c r="K142" s="3" t="s">
        <v>27</v>
      </c>
      <c r="L142" s="3" t="s">
        <v>339</v>
      </c>
      <c r="M142" s="2"/>
      <c r="N142" s="3" t="n">
        <f aca="false">IF(AND(I142="Operational",OR(H142="operational_IT",H142="operational_critical",H142="operational_total",H142="combined")),G142,"")</f>
        <v>6</v>
      </c>
    </row>
    <row r="143" customFormat="false" ht="15" hidden="false" customHeight="false" outlineLevel="0" collapsed="false">
      <c r="A143" s="2" t="s">
        <v>341</v>
      </c>
      <c r="B143" s="3" t="s">
        <v>299</v>
      </c>
      <c r="C143" s="3" t="s">
        <v>299</v>
      </c>
      <c r="D143" s="3" t="s">
        <v>84</v>
      </c>
      <c r="E143" s="3" t="s">
        <v>82</v>
      </c>
      <c r="F143" s="3" t="s">
        <v>18</v>
      </c>
      <c r="G143" s="3" t="n">
        <v>3</v>
      </c>
      <c r="H143" s="3" t="s">
        <v>106</v>
      </c>
      <c r="I143" s="4" t="s">
        <v>20</v>
      </c>
      <c r="J143" s="3" t="n">
        <v>70000</v>
      </c>
      <c r="K143" s="3" t="s">
        <v>27</v>
      </c>
      <c r="L143" s="3" t="s">
        <v>342</v>
      </c>
      <c r="M143" s="2"/>
      <c r="N143" s="3" t="n">
        <f aca="false">IF(AND(I143="Operational",OR(H143="operational_IT",H143="operational_critical",H143="operational_total",H143="combined")),G143,"")</f>
        <v>3</v>
      </c>
    </row>
    <row r="144" customFormat="false" ht="15" hidden="false" customHeight="false" outlineLevel="0" collapsed="false">
      <c r="A144" s="2" t="s">
        <v>343</v>
      </c>
      <c r="B144" s="3" t="s">
        <v>299</v>
      </c>
      <c r="C144" s="3" t="s">
        <v>299</v>
      </c>
      <c r="D144" s="3" t="s">
        <v>344</v>
      </c>
      <c r="E144" s="3" t="s">
        <v>345</v>
      </c>
      <c r="F144" s="3" t="s">
        <v>60</v>
      </c>
      <c r="G144" s="3" t="n">
        <v>6</v>
      </c>
      <c r="H144" s="3" t="s">
        <v>34</v>
      </c>
      <c r="I144" s="5" t="s">
        <v>35</v>
      </c>
      <c r="J144" s="3" t="n">
        <v>165000</v>
      </c>
      <c r="K144" s="3" t="s">
        <v>27</v>
      </c>
      <c r="L144" s="3" t="s">
        <v>346</v>
      </c>
      <c r="M144" s="2" t="s">
        <v>347</v>
      </c>
      <c r="N144" s="3" t="str">
        <f aca="false">IF(AND(I144="Operational",OR(H144="operational_IT",H144="operational_critical",H144="operational_total",H144="combined")),G144,"")</f>
        <v/>
      </c>
    </row>
    <row r="145" customFormat="false" ht="15" hidden="false" customHeight="false" outlineLevel="0" collapsed="false">
      <c r="A145" s="2" t="s">
        <v>348</v>
      </c>
      <c r="B145" s="3" t="s">
        <v>349</v>
      </c>
      <c r="C145" s="3" t="s">
        <v>350</v>
      </c>
      <c r="D145" s="3" t="s">
        <v>16</v>
      </c>
      <c r="E145" s="3" t="s">
        <v>17</v>
      </c>
      <c r="F145" s="3" t="s">
        <v>18</v>
      </c>
      <c r="G145" s="3" t="n">
        <v>12.5</v>
      </c>
      <c r="H145" s="3" t="s">
        <v>351</v>
      </c>
      <c r="I145" s="4" t="s">
        <v>20</v>
      </c>
      <c r="J145" s="3"/>
      <c r="K145" s="3" t="s">
        <v>27</v>
      </c>
      <c r="L145" s="3" t="s">
        <v>352</v>
      </c>
      <c r="M145" s="2"/>
      <c r="N145" s="3" t="n">
        <f aca="false">IF(AND(I145="Operational",OR(H145="operational_IT",H145="operational_critical",H145="operational_total",H145="combined")),G145,"")</f>
        <v>12.5</v>
      </c>
    </row>
    <row r="146" customFormat="false" ht="15" hidden="false" customHeight="false" outlineLevel="0" collapsed="false">
      <c r="A146" s="2" t="s">
        <v>353</v>
      </c>
      <c r="B146" s="3" t="s">
        <v>349</v>
      </c>
      <c r="C146" s="3" t="s">
        <v>350</v>
      </c>
      <c r="D146" s="3" t="s">
        <v>16</v>
      </c>
      <c r="E146" s="3" t="s">
        <v>17</v>
      </c>
      <c r="F146" s="3" t="s">
        <v>18</v>
      </c>
      <c r="G146" s="3" t="n">
        <v>19.2</v>
      </c>
      <c r="H146" s="3" t="s">
        <v>351</v>
      </c>
      <c r="I146" s="4" t="s">
        <v>20</v>
      </c>
      <c r="J146" s="3"/>
      <c r="K146" s="3" t="s">
        <v>27</v>
      </c>
      <c r="L146" s="3" t="s">
        <v>352</v>
      </c>
      <c r="M146" s="2"/>
      <c r="N146" s="3" t="n">
        <f aca="false">IF(AND(I146="Operational",OR(H146="operational_IT",H146="operational_critical",H146="operational_total",H146="combined")),G146,"")</f>
        <v>19.2</v>
      </c>
    </row>
    <row r="147" customFormat="false" ht="15" hidden="false" customHeight="false" outlineLevel="0" collapsed="false">
      <c r="A147" s="2" t="s">
        <v>354</v>
      </c>
      <c r="B147" s="3" t="s">
        <v>349</v>
      </c>
      <c r="C147" s="3" t="s">
        <v>350</v>
      </c>
      <c r="D147" s="3" t="s">
        <v>16</v>
      </c>
      <c r="E147" s="3" t="s">
        <v>17</v>
      </c>
      <c r="F147" s="3" t="s">
        <v>18</v>
      </c>
      <c r="G147" s="3" t="n">
        <v>25.6</v>
      </c>
      <c r="H147" s="3" t="s">
        <v>351</v>
      </c>
      <c r="I147" s="4" t="s">
        <v>20</v>
      </c>
      <c r="J147" s="3"/>
      <c r="K147" s="3" t="s">
        <v>27</v>
      </c>
      <c r="L147" s="3" t="s">
        <v>352</v>
      </c>
      <c r="M147" s="2"/>
      <c r="N147" s="3" t="n">
        <f aca="false">IF(AND(I147="Operational",OR(H147="operational_IT",H147="operational_critical",H147="operational_total",H147="combined")),G147,"")</f>
        <v>25.6</v>
      </c>
    </row>
    <row r="148" customFormat="false" ht="15" hidden="false" customHeight="false" outlineLevel="0" collapsed="false">
      <c r="A148" s="2" t="s">
        <v>355</v>
      </c>
      <c r="B148" s="3" t="s">
        <v>349</v>
      </c>
      <c r="C148" s="3" t="s">
        <v>350</v>
      </c>
      <c r="D148" s="3" t="s">
        <v>16</v>
      </c>
      <c r="E148" s="3" t="s">
        <v>17</v>
      </c>
      <c r="F148" s="3" t="s">
        <v>18</v>
      </c>
      <c r="G148" s="3" t="n">
        <v>2.4</v>
      </c>
      <c r="H148" s="3" t="s">
        <v>351</v>
      </c>
      <c r="I148" s="4" t="s">
        <v>20</v>
      </c>
      <c r="J148" s="3"/>
      <c r="K148" s="3" t="s">
        <v>27</v>
      </c>
      <c r="L148" s="3" t="s">
        <v>352</v>
      </c>
      <c r="M148" s="2"/>
      <c r="N148" s="3" t="n">
        <f aca="false">IF(AND(I148="Operational",OR(H148="operational_IT",H148="operational_critical",H148="operational_total",H148="combined")),G148,"")</f>
        <v>2.4</v>
      </c>
    </row>
    <row r="149" customFormat="false" ht="15" hidden="false" customHeight="false" outlineLevel="0" collapsed="false">
      <c r="A149" s="2" t="s">
        <v>356</v>
      </c>
      <c r="B149" s="3" t="s">
        <v>349</v>
      </c>
      <c r="C149" s="3" t="s">
        <v>350</v>
      </c>
      <c r="D149" s="3" t="s">
        <v>16</v>
      </c>
      <c r="E149" s="3" t="s">
        <v>17</v>
      </c>
      <c r="F149" s="3" t="s">
        <v>18</v>
      </c>
      <c r="G149" s="3" t="n">
        <v>3</v>
      </c>
      <c r="H149" s="3" t="s">
        <v>351</v>
      </c>
      <c r="I149" s="4" t="s">
        <v>20</v>
      </c>
      <c r="J149" s="3"/>
      <c r="K149" s="3" t="s">
        <v>27</v>
      </c>
      <c r="L149" s="3" t="s">
        <v>352</v>
      </c>
      <c r="M149" s="2"/>
      <c r="N149" s="3" t="n">
        <f aca="false">IF(AND(I149="Operational",OR(H149="operational_IT",H149="operational_critical",H149="operational_total",H149="combined")),G149,"")</f>
        <v>3</v>
      </c>
    </row>
    <row r="150" customFormat="false" ht="15" hidden="false" customHeight="false" outlineLevel="0" collapsed="false">
      <c r="A150" s="2" t="s">
        <v>357</v>
      </c>
      <c r="B150" s="3" t="s">
        <v>349</v>
      </c>
      <c r="C150" s="3" t="s">
        <v>350</v>
      </c>
      <c r="D150" s="3" t="s">
        <v>16</v>
      </c>
      <c r="E150" s="3" t="s">
        <v>17</v>
      </c>
      <c r="F150" s="3" t="s">
        <v>18</v>
      </c>
      <c r="G150" s="3"/>
      <c r="H150" s="3" t="s">
        <v>51</v>
      </c>
      <c r="I150" s="4" t="s">
        <v>20</v>
      </c>
      <c r="J150" s="3"/>
      <c r="K150" s="3" t="s">
        <v>21</v>
      </c>
      <c r="L150" s="3" t="s">
        <v>352</v>
      </c>
      <c r="M150" s="2"/>
      <c r="N150" s="3" t="str">
        <f aca="false">IF(AND(I150="Operational",OR(H150="operational_IT",H150="operational_critical",H150="operational_total",H150="combined")),G150,"")</f>
        <v/>
      </c>
    </row>
    <row r="151" customFormat="false" ht="15" hidden="false" customHeight="false" outlineLevel="0" collapsed="false">
      <c r="A151" s="2" t="s">
        <v>358</v>
      </c>
      <c r="B151" s="3" t="s">
        <v>349</v>
      </c>
      <c r="C151" s="3" t="s">
        <v>350</v>
      </c>
      <c r="D151" s="3" t="s">
        <v>33</v>
      </c>
      <c r="E151" s="3" t="s">
        <v>17</v>
      </c>
      <c r="F151" s="3" t="s">
        <v>18</v>
      </c>
      <c r="G151" s="3" t="n">
        <v>30</v>
      </c>
      <c r="H151" s="3" t="s">
        <v>106</v>
      </c>
      <c r="I151" s="4" t="s">
        <v>20</v>
      </c>
      <c r="J151" s="3"/>
      <c r="K151" s="3" t="s">
        <v>27</v>
      </c>
      <c r="L151" s="3" t="s">
        <v>359</v>
      </c>
      <c r="M151" s="2"/>
      <c r="N151" s="3" t="n">
        <f aca="false">IF(AND(I151="Operational",OR(H151="operational_IT",H151="operational_critical",H151="operational_total",H151="combined")),G151,"")</f>
        <v>30</v>
      </c>
    </row>
    <row r="152" customFormat="false" ht="15" hidden="false" customHeight="false" outlineLevel="0" collapsed="false">
      <c r="A152" s="2" t="s">
        <v>360</v>
      </c>
      <c r="B152" s="3" t="s">
        <v>349</v>
      </c>
      <c r="C152" s="3" t="s">
        <v>350</v>
      </c>
      <c r="D152" s="3" t="s">
        <v>33</v>
      </c>
      <c r="E152" s="3" t="s">
        <v>17</v>
      </c>
      <c r="F152" s="3" t="s">
        <v>18</v>
      </c>
      <c r="G152" s="3" t="n">
        <v>336</v>
      </c>
      <c r="H152" s="3" t="s">
        <v>34</v>
      </c>
      <c r="I152" s="6" t="s">
        <v>44</v>
      </c>
      <c r="J152" s="3"/>
      <c r="K152" s="3" t="s">
        <v>21</v>
      </c>
      <c r="L152" s="3" t="s">
        <v>361</v>
      </c>
      <c r="M152" s="2" t="s">
        <v>362</v>
      </c>
      <c r="N152" s="3" t="str">
        <f aca="false">IF(AND(I152="Operational",OR(H152="operational_IT",H152="operational_critical",H152="operational_total",H152="combined")),G152,"")</f>
        <v/>
      </c>
    </row>
    <row r="153" customFormat="false" ht="15" hidden="false" customHeight="false" outlineLevel="0" collapsed="false">
      <c r="A153" s="2" t="s">
        <v>363</v>
      </c>
      <c r="B153" s="3" t="s">
        <v>349</v>
      </c>
      <c r="C153" s="3" t="s">
        <v>350</v>
      </c>
      <c r="D153" s="3" t="s">
        <v>63</v>
      </c>
      <c r="E153" s="3" t="s">
        <v>64</v>
      </c>
      <c r="F153" s="3" t="s">
        <v>40</v>
      </c>
      <c r="G153" s="3" t="n">
        <v>4.5</v>
      </c>
      <c r="H153" s="3" t="s">
        <v>351</v>
      </c>
      <c r="I153" s="4" t="s">
        <v>20</v>
      </c>
      <c r="J153" s="3"/>
      <c r="K153" s="3" t="s">
        <v>27</v>
      </c>
      <c r="L153" s="3" t="s">
        <v>352</v>
      </c>
      <c r="M153" s="2"/>
      <c r="N153" s="3" t="n">
        <f aca="false">IF(AND(I153="Operational",OR(H153="operational_IT",H153="operational_critical",H153="operational_total",H153="combined")),G153,"")</f>
        <v>4.5</v>
      </c>
    </row>
    <row r="154" customFormat="false" ht="15" hidden="false" customHeight="false" outlineLevel="0" collapsed="false">
      <c r="A154" s="2" t="s">
        <v>364</v>
      </c>
      <c r="B154" s="3" t="s">
        <v>349</v>
      </c>
      <c r="C154" s="3" t="s">
        <v>350</v>
      </c>
      <c r="D154" s="3" t="s">
        <v>63</v>
      </c>
      <c r="E154" s="3" t="s">
        <v>64</v>
      </c>
      <c r="F154" s="3" t="s">
        <v>40</v>
      </c>
      <c r="G154" s="3" t="n">
        <v>12</v>
      </c>
      <c r="H154" s="3" t="s">
        <v>351</v>
      </c>
      <c r="I154" s="4" t="s">
        <v>20</v>
      </c>
      <c r="J154" s="3"/>
      <c r="K154" s="3" t="s">
        <v>27</v>
      </c>
      <c r="L154" s="3" t="s">
        <v>352</v>
      </c>
      <c r="M154" s="2"/>
      <c r="N154" s="3" t="n">
        <f aca="false">IF(AND(I154="Operational",OR(H154="operational_IT",H154="operational_critical",H154="operational_total",H154="combined")),G154,"")</f>
        <v>12</v>
      </c>
    </row>
    <row r="155" customFormat="false" ht="15" hidden="false" customHeight="false" outlineLevel="0" collapsed="false">
      <c r="A155" s="2" t="s">
        <v>365</v>
      </c>
      <c r="B155" s="3" t="s">
        <v>349</v>
      </c>
      <c r="C155" s="3" t="s">
        <v>350</v>
      </c>
      <c r="D155" s="3" t="s">
        <v>63</v>
      </c>
      <c r="E155" s="3" t="s">
        <v>64</v>
      </c>
      <c r="F155" s="3" t="s">
        <v>40</v>
      </c>
      <c r="G155" s="3" t="n">
        <v>67.2</v>
      </c>
      <c r="H155" s="3" t="s">
        <v>351</v>
      </c>
      <c r="I155" s="4" t="s">
        <v>20</v>
      </c>
      <c r="J155" s="3"/>
      <c r="K155" s="3" t="s">
        <v>27</v>
      </c>
      <c r="L155" s="3" t="s">
        <v>352</v>
      </c>
      <c r="M155" s="2" t="s">
        <v>366</v>
      </c>
      <c r="N155" s="3" t="n">
        <f aca="false">IF(AND(I155="Operational",OR(H155="operational_IT",H155="operational_critical",H155="operational_total",H155="combined")),G155,"")</f>
        <v>67.2</v>
      </c>
    </row>
    <row r="156" customFormat="false" ht="15" hidden="false" customHeight="false" outlineLevel="0" collapsed="false">
      <c r="A156" s="2" t="s">
        <v>367</v>
      </c>
      <c r="B156" s="3" t="s">
        <v>349</v>
      </c>
      <c r="C156" s="3" t="s">
        <v>350</v>
      </c>
      <c r="D156" s="3" t="s">
        <v>49</v>
      </c>
      <c r="E156" s="3" t="s">
        <v>50</v>
      </c>
      <c r="F156" s="3" t="s">
        <v>40</v>
      </c>
      <c r="G156" s="3"/>
      <c r="H156" s="3" t="s">
        <v>51</v>
      </c>
      <c r="I156" s="4" t="s">
        <v>20</v>
      </c>
      <c r="J156" s="3"/>
      <c r="K156" s="3" t="s">
        <v>21</v>
      </c>
      <c r="L156" s="3" t="s">
        <v>352</v>
      </c>
      <c r="M156" s="2"/>
      <c r="N156" s="3" t="str">
        <f aca="false">IF(AND(I156="Operational",OR(H156="operational_IT",H156="operational_critical",H156="operational_total",H156="combined")),G156,"")</f>
        <v/>
      </c>
    </row>
    <row r="157" customFormat="false" ht="15" hidden="false" customHeight="false" outlineLevel="0" collapsed="false">
      <c r="A157" s="2" t="s">
        <v>368</v>
      </c>
      <c r="B157" s="3" t="s">
        <v>349</v>
      </c>
      <c r="C157" s="3" t="s">
        <v>350</v>
      </c>
      <c r="D157" s="3" t="s">
        <v>49</v>
      </c>
      <c r="E157" s="3" t="s">
        <v>50</v>
      </c>
      <c r="F157" s="3" t="s">
        <v>40</v>
      </c>
      <c r="G157" s="3" t="n">
        <v>17.4</v>
      </c>
      <c r="H157" s="3" t="s">
        <v>106</v>
      </c>
      <c r="I157" s="4" t="s">
        <v>20</v>
      </c>
      <c r="J157" s="3"/>
      <c r="K157" s="3" t="s">
        <v>27</v>
      </c>
      <c r="L157" s="3" t="s">
        <v>352</v>
      </c>
      <c r="M157" s="2" t="s">
        <v>369</v>
      </c>
      <c r="N157" s="3" t="n">
        <f aca="false">IF(AND(I157="Operational",OR(H157="operational_IT",H157="operational_critical",H157="operational_total",H157="combined")),G157,"")</f>
        <v>17.4</v>
      </c>
    </row>
    <row r="158" customFormat="false" ht="15" hidden="false" customHeight="false" outlineLevel="0" collapsed="false">
      <c r="A158" s="2" t="s">
        <v>370</v>
      </c>
      <c r="B158" s="3" t="s">
        <v>349</v>
      </c>
      <c r="C158" s="3" t="s">
        <v>350</v>
      </c>
      <c r="D158" s="3" t="s">
        <v>58</v>
      </c>
      <c r="E158" s="3" t="s">
        <v>59</v>
      </c>
      <c r="F158" s="3" t="s">
        <v>60</v>
      </c>
      <c r="G158" s="3" t="n">
        <v>1.5</v>
      </c>
      <c r="H158" s="3" t="s">
        <v>351</v>
      </c>
      <c r="I158" s="4" t="s">
        <v>20</v>
      </c>
      <c r="J158" s="3"/>
      <c r="K158" s="3" t="s">
        <v>27</v>
      </c>
      <c r="L158" s="3" t="s">
        <v>352</v>
      </c>
      <c r="M158" s="2"/>
      <c r="N158" s="3" t="n">
        <f aca="false">IF(AND(I158="Operational",OR(H158="operational_IT",H158="operational_critical",H158="operational_total",H158="combined")),G158,"")</f>
        <v>1.5</v>
      </c>
    </row>
    <row r="159" customFormat="false" ht="15" hidden="false" customHeight="false" outlineLevel="0" collapsed="false">
      <c r="A159" s="2" t="s">
        <v>371</v>
      </c>
      <c r="B159" s="3" t="s">
        <v>349</v>
      </c>
      <c r="C159" s="3" t="s">
        <v>350</v>
      </c>
      <c r="D159" s="3" t="s">
        <v>58</v>
      </c>
      <c r="E159" s="3" t="s">
        <v>59</v>
      </c>
      <c r="F159" s="3" t="s">
        <v>60</v>
      </c>
      <c r="G159" s="3" t="n">
        <v>52.8</v>
      </c>
      <c r="H159" s="3" t="s">
        <v>34</v>
      </c>
      <c r="I159" s="5" t="s">
        <v>35</v>
      </c>
      <c r="J159" s="3"/>
      <c r="K159" s="3" t="s">
        <v>27</v>
      </c>
      <c r="L159" s="3" t="s">
        <v>352</v>
      </c>
      <c r="M159" s="2"/>
      <c r="N159" s="3" t="str">
        <f aca="false">IF(AND(I159="Operational",OR(H159="operational_IT",H159="operational_critical",H159="operational_total",H159="combined")),G159,"")</f>
        <v/>
      </c>
    </row>
    <row r="160" customFormat="false" ht="15" hidden="false" customHeight="false" outlineLevel="0" collapsed="false">
      <c r="A160" s="2" t="s">
        <v>372</v>
      </c>
      <c r="B160" s="3" t="s">
        <v>349</v>
      </c>
      <c r="C160" s="3" t="s">
        <v>350</v>
      </c>
      <c r="D160" s="3" t="s">
        <v>67</v>
      </c>
      <c r="E160" s="3" t="s">
        <v>68</v>
      </c>
      <c r="F160" s="3" t="s">
        <v>69</v>
      </c>
      <c r="G160" s="3" t="n">
        <v>25</v>
      </c>
      <c r="H160" s="3" t="s">
        <v>351</v>
      </c>
      <c r="I160" s="4" t="s">
        <v>20</v>
      </c>
      <c r="J160" s="3"/>
      <c r="K160" s="3" t="s">
        <v>27</v>
      </c>
      <c r="L160" s="3" t="s">
        <v>352</v>
      </c>
      <c r="M160" s="2" t="s">
        <v>373</v>
      </c>
      <c r="N160" s="3" t="n">
        <f aca="false">IF(AND(I160="Operational",OR(H160="operational_IT",H160="operational_critical",H160="operational_total",H160="combined")),G160,"")</f>
        <v>25</v>
      </c>
    </row>
    <row r="161" customFormat="false" ht="15" hidden="false" customHeight="false" outlineLevel="0" collapsed="false">
      <c r="A161" s="2" t="s">
        <v>374</v>
      </c>
      <c r="B161" s="3" t="s">
        <v>375</v>
      </c>
      <c r="C161" s="3" t="s">
        <v>375</v>
      </c>
      <c r="D161" s="3" t="s">
        <v>16</v>
      </c>
      <c r="E161" s="3" t="s">
        <v>17</v>
      </c>
      <c r="F161" s="3" t="s">
        <v>18</v>
      </c>
      <c r="G161" s="3"/>
      <c r="H161" s="3" t="s">
        <v>51</v>
      </c>
      <c r="I161" s="4" t="s">
        <v>20</v>
      </c>
      <c r="J161" s="3" t="n">
        <v>18352</v>
      </c>
      <c r="K161" s="3" t="s">
        <v>27</v>
      </c>
      <c r="L161" s="3" t="s">
        <v>376</v>
      </c>
      <c r="M161" s="2" t="s">
        <v>377</v>
      </c>
      <c r="N161" s="3" t="str">
        <f aca="false">IF(AND(I161="Operational",OR(H161="operational_IT",H161="operational_critical",H161="operational_total",H161="combined")),G161,"")</f>
        <v/>
      </c>
    </row>
    <row r="162" customFormat="false" ht="15" hidden="false" customHeight="false" outlineLevel="0" collapsed="false">
      <c r="A162" s="2" t="s">
        <v>378</v>
      </c>
      <c r="B162" s="3" t="s">
        <v>375</v>
      </c>
      <c r="C162" s="3" t="s">
        <v>375</v>
      </c>
      <c r="D162" s="3" t="s">
        <v>16</v>
      </c>
      <c r="E162" s="3" t="s">
        <v>17</v>
      </c>
      <c r="F162" s="3" t="s">
        <v>18</v>
      </c>
      <c r="G162" s="3"/>
      <c r="H162" s="3" t="s">
        <v>51</v>
      </c>
      <c r="I162" s="4" t="s">
        <v>20</v>
      </c>
      <c r="J162" s="3" t="n">
        <v>32529</v>
      </c>
      <c r="K162" s="3" t="s">
        <v>27</v>
      </c>
      <c r="L162" s="3" t="s">
        <v>379</v>
      </c>
      <c r="M162" s="2"/>
      <c r="N162" s="3" t="str">
        <f aca="false">IF(AND(I162="Operational",OR(H162="operational_IT",H162="operational_critical",H162="operational_total",H162="combined")),G162,"")</f>
        <v/>
      </c>
    </row>
    <row r="163" customFormat="false" ht="15" hidden="false" customHeight="false" outlineLevel="0" collapsed="false">
      <c r="A163" s="2" t="s">
        <v>380</v>
      </c>
      <c r="B163" s="3" t="s">
        <v>375</v>
      </c>
      <c r="C163" s="3" t="s">
        <v>375</v>
      </c>
      <c r="D163" s="3" t="s">
        <v>16</v>
      </c>
      <c r="E163" s="3" t="s">
        <v>17</v>
      </c>
      <c r="F163" s="3" t="s">
        <v>18</v>
      </c>
      <c r="G163" s="3"/>
      <c r="H163" s="3" t="s">
        <v>51</v>
      </c>
      <c r="I163" s="4" t="s">
        <v>20</v>
      </c>
      <c r="J163" s="3"/>
      <c r="K163" s="3" t="s">
        <v>27</v>
      </c>
      <c r="L163" s="3" t="s">
        <v>381</v>
      </c>
      <c r="M163" s="2" t="s">
        <v>382</v>
      </c>
      <c r="N163" s="3" t="str">
        <f aca="false">IF(AND(I163="Operational",OR(H163="operational_IT",H163="operational_critical",H163="operational_total",H163="combined")),G163,"")</f>
        <v/>
      </c>
    </row>
    <row r="164" customFormat="false" ht="15" hidden="false" customHeight="false" outlineLevel="0" collapsed="false">
      <c r="A164" s="2" t="s">
        <v>383</v>
      </c>
      <c r="B164" s="3" t="s">
        <v>375</v>
      </c>
      <c r="C164" s="3" t="s">
        <v>375</v>
      </c>
      <c r="D164" s="3" t="s">
        <v>16</v>
      </c>
      <c r="E164" s="3" t="s">
        <v>17</v>
      </c>
      <c r="F164" s="3" t="s">
        <v>18</v>
      </c>
      <c r="G164" s="3"/>
      <c r="H164" s="3" t="s">
        <v>51</v>
      </c>
      <c r="I164" s="4" t="s">
        <v>20</v>
      </c>
      <c r="J164" s="3"/>
      <c r="K164" s="3" t="s">
        <v>27</v>
      </c>
      <c r="L164" s="3" t="s">
        <v>384</v>
      </c>
      <c r="M164" s="2" t="s">
        <v>385</v>
      </c>
      <c r="N164" s="3" t="str">
        <f aca="false">IF(AND(I164="Operational",OR(H164="operational_IT",H164="operational_critical",H164="operational_total",H164="combined")),G164,"")</f>
        <v/>
      </c>
    </row>
    <row r="165" customFormat="false" ht="23.85" hidden="false" customHeight="false" outlineLevel="0" collapsed="false">
      <c r="A165" s="2" t="s">
        <v>386</v>
      </c>
      <c r="B165" s="3" t="s">
        <v>387</v>
      </c>
      <c r="C165" s="3" t="s">
        <v>387</v>
      </c>
      <c r="D165" s="3" t="s">
        <v>33</v>
      </c>
      <c r="E165" s="3" t="s">
        <v>17</v>
      </c>
      <c r="F165" s="3" t="s">
        <v>18</v>
      </c>
      <c r="G165" s="3" t="n">
        <v>22</v>
      </c>
      <c r="H165" s="3" t="s">
        <v>19</v>
      </c>
      <c r="I165" s="4" t="s">
        <v>20</v>
      </c>
      <c r="J165" s="3"/>
      <c r="K165" s="3" t="s">
        <v>27</v>
      </c>
      <c r="L165" s="3" t="s">
        <v>388</v>
      </c>
      <c r="M165" s="2" t="s">
        <v>389</v>
      </c>
      <c r="N165" s="3" t="n">
        <f aca="false">IF(AND(I165="Operational",OR(H165="operational_IT",H165="operational_critical",H165="operational_total",H165="combined")),G165,"")</f>
        <v>22</v>
      </c>
    </row>
    <row r="166" customFormat="false" ht="15" hidden="false" customHeight="false" outlineLevel="0" collapsed="false">
      <c r="A166" s="2" t="s">
        <v>390</v>
      </c>
      <c r="B166" s="3" t="s">
        <v>387</v>
      </c>
      <c r="C166" s="3" t="s">
        <v>387</v>
      </c>
      <c r="D166" s="3" t="s">
        <v>33</v>
      </c>
      <c r="E166" s="3" t="s">
        <v>17</v>
      </c>
      <c r="F166" s="3" t="s">
        <v>18</v>
      </c>
      <c r="G166" s="3"/>
      <c r="H166" s="3" t="s">
        <v>106</v>
      </c>
      <c r="I166" s="4" t="s">
        <v>20</v>
      </c>
      <c r="J166" s="3"/>
      <c r="K166" s="3" t="s">
        <v>27</v>
      </c>
      <c r="L166" s="3" t="s">
        <v>388</v>
      </c>
      <c r="M166" s="2" t="s">
        <v>391</v>
      </c>
      <c r="N166" s="3" t="n">
        <f aca="false">IF(AND(I166="Operational",OR(H166="operational_IT",H166="operational_critical",H166="operational_total",H166="combined")),G166,"")</f>
        <v>0</v>
      </c>
    </row>
    <row r="167" customFormat="false" ht="15" hidden="false" customHeight="false" outlineLevel="0" collapsed="false">
      <c r="A167" s="2" t="s">
        <v>392</v>
      </c>
      <c r="B167" s="3" t="s">
        <v>387</v>
      </c>
      <c r="C167" s="3" t="s">
        <v>387</v>
      </c>
      <c r="D167" s="3" t="s">
        <v>49</v>
      </c>
      <c r="E167" s="3" t="s">
        <v>50</v>
      </c>
      <c r="F167" s="3" t="s">
        <v>40</v>
      </c>
      <c r="G167" s="3" t="n">
        <v>96</v>
      </c>
      <c r="H167" s="3" t="s">
        <v>34</v>
      </c>
      <c r="I167" s="5" t="s">
        <v>35</v>
      </c>
      <c r="J167" s="3"/>
      <c r="K167" s="3" t="s">
        <v>27</v>
      </c>
      <c r="L167" s="3" t="s">
        <v>393</v>
      </c>
      <c r="M167" s="2" t="s">
        <v>394</v>
      </c>
      <c r="N167" s="3" t="str">
        <f aca="false">IF(AND(I167="Operational",OR(H167="operational_IT",H167="operational_critical",H167="operational_total",H167="combined")),G167,"")</f>
        <v/>
      </c>
    </row>
    <row r="168" customFormat="false" ht="15" hidden="false" customHeight="false" outlineLevel="0" collapsed="false">
      <c r="A168" s="2" t="s">
        <v>395</v>
      </c>
      <c r="B168" s="3" t="s">
        <v>396</v>
      </c>
      <c r="C168" s="3" t="s">
        <v>396</v>
      </c>
      <c r="D168" s="3" t="s">
        <v>16</v>
      </c>
      <c r="E168" s="3" t="s">
        <v>17</v>
      </c>
      <c r="F168" s="3" t="s">
        <v>18</v>
      </c>
      <c r="G168" s="3" t="n">
        <v>48</v>
      </c>
      <c r="H168" s="3" t="s">
        <v>106</v>
      </c>
      <c r="I168" s="4" t="s">
        <v>20</v>
      </c>
      <c r="J168" s="3"/>
      <c r="K168" s="3" t="s">
        <v>27</v>
      </c>
      <c r="L168" s="3" t="s">
        <v>397</v>
      </c>
      <c r="M168" s="2" t="s">
        <v>398</v>
      </c>
      <c r="N168" s="3" t="n">
        <f aca="false">IF(AND(I168="Operational",OR(H168="operational_IT",H168="operational_critical",H168="operational_total",H168="combined")),G168,"")</f>
        <v>48</v>
      </c>
    </row>
    <row r="169" customFormat="false" ht="15" hidden="false" customHeight="false" outlineLevel="0" collapsed="false">
      <c r="A169" s="2" t="s">
        <v>399</v>
      </c>
      <c r="B169" s="3" t="s">
        <v>396</v>
      </c>
      <c r="C169" s="3" t="s">
        <v>396</v>
      </c>
      <c r="D169" s="3" t="s">
        <v>33</v>
      </c>
      <c r="E169" s="3" t="s">
        <v>17</v>
      </c>
      <c r="F169" s="3" t="s">
        <v>18</v>
      </c>
      <c r="G169" s="3" t="n">
        <v>120</v>
      </c>
      <c r="H169" s="3" t="s">
        <v>34</v>
      </c>
      <c r="I169" s="5" t="s">
        <v>35</v>
      </c>
      <c r="J169" s="3"/>
      <c r="K169" s="3" t="s">
        <v>27</v>
      </c>
      <c r="L169" s="3" t="s">
        <v>400</v>
      </c>
      <c r="M169" s="2" t="s">
        <v>401</v>
      </c>
      <c r="N169" s="3" t="str">
        <f aca="false">IF(AND(I169="Operational",OR(H169="operational_IT",H169="operational_critical",H169="operational_total",H169="combined")),G169,"")</f>
        <v/>
      </c>
    </row>
    <row r="170" customFormat="false" ht="15" hidden="false" customHeight="false" outlineLevel="0" collapsed="false">
      <c r="A170" s="2" t="s">
        <v>402</v>
      </c>
      <c r="B170" s="3" t="s">
        <v>396</v>
      </c>
      <c r="C170" s="3" t="s">
        <v>396</v>
      </c>
      <c r="D170" s="3" t="s">
        <v>49</v>
      </c>
      <c r="E170" s="3" t="s">
        <v>50</v>
      </c>
      <c r="F170" s="3" t="s">
        <v>40</v>
      </c>
      <c r="G170" s="3" t="n">
        <v>72</v>
      </c>
      <c r="H170" s="3" t="s">
        <v>34</v>
      </c>
      <c r="I170" s="6" t="s">
        <v>44</v>
      </c>
      <c r="J170" s="3"/>
      <c r="K170" s="3" t="s">
        <v>27</v>
      </c>
      <c r="L170" s="3" t="s">
        <v>403</v>
      </c>
      <c r="M170" s="2"/>
      <c r="N170" s="3" t="str">
        <f aca="false">IF(AND(I170="Operational",OR(H170="operational_IT",H170="operational_critical",H170="operational_total",H170="combined")),G170,"")</f>
        <v/>
      </c>
    </row>
    <row r="171" customFormat="false" ht="15" hidden="false" customHeight="false" outlineLevel="0" collapsed="false">
      <c r="A171" s="2" t="s">
        <v>404</v>
      </c>
      <c r="B171" s="3" t="s">
        <v>405</v>
      </c>
      <c r="C171" s="3" t="s">
        <v>406</v>
      </c>
      <c r="D171" s="3" t="s">
        <v>16</v>
      </c>
      <c r="E171" s="3" t="s">
        <v>17</v>
      </c>
      <c r="F171" s="3" t="s">
        <v>18</v>
      </c>
      <c r="G171" s="3"/>
      <c r="H171" s="3" t="s">
        <v>407</v>
      </c>
      <c r="I171" s="4" t="s">
        <v>20</v>
      </c>
      <c r="J171" s="3"/>
      <c r="K171" s="3" t="s">
        <v>27</v>
      </c>
      <c r="L171" s="3" t="s">
        <v>408</v>
      </c>
      <c r="M171" s="2" t="s">
        <v>409</v>
      </c>
      <c r="N171" s="3" t="str">
        <f aca="false">IF(AND(I171="Operational",OR(H171="operational_IT",H171="operational_critical",H171="operational_total",H171="combined")),G171,"")</f>
        <v/>
      </c>
    </row>
    <row r="172" customFormat="false" ht="15" hidden="false" customHeight="false" outlineLevel="0" collapsed="false">
      <c r="A172" s="2" t="s">
        <v>410</v>
      </c>
      <c r="B172" s="3" t="s">
        <v>405</v>
      </c>
      <c r="C172" s="3" t="s">
        <v>406</v>
      </c>
      <c r="D172" s="3" t="s">
        <v>38</v>
      </c>
      <c r="E172" s="3" t="s">
        <v>39</v>
      </c>
      <c r="F172" s="3" t="s">
        <v>40</v>
      </c>
      <c r="G172" s="3"/>
      <c r="H172" s="3" t="s">
        <v>407</v>
      </c>
      <c r="I172" s="4" t="s">
        <v>20</v>
      </c>
      <c r="J172" s="3"/>
      <c r="K172" s="3" t="s">
        <v>27</v>
      </c>
      <c r="L172" s="3" t="s">
        <v>411</v>
      </c>
      <c r="M172" s="2" t="s">
        <v>412</v>
      </c>
      <c r="N172" s="3" t="str">
        <f aca="false">IF(AND(I172="Operational",OR(H172="operational_IT",H172="operational_critical",H172="operational_total",H172="combined")),G172,"")</f>
        <v/>
      </c>
    </row>
    <row r="173" customFormat="false" ht="15" hidden="false" customHeight="false" outlineLevel="0" collapsed="false">
      <c r="A173" s="2" t="s">
        <v>413</v>
      </c>
      <c r="B173" s="3" t="s">
        <v>414</v>
      </c>
      <c r="C173" s="3" t="s">
        <v>415</v>
      </c>
      <c r="D173" s="3" t="s">
        <v>169</v>
      </c>
      <c r="E173" s="3" t="s">
        <v>17</v>
      </c>
      <c r="F173" s="3" t="s">
        <v>18</v>
      </c>
      <c r="G173" s="3"/>
      <c r="H173" s="3" t="s">
        <v>407</v>
      </c>
      <c r="I173" s="4" t="s">
        <v>20</v>
      </c>
      <c r="J173" s="3"/>
      <c r="K173" s="3" t="s">
        <v>27</v>
      </c>
      <c r="L173" s="3" t="s">
        <v>416</v>
      </c>
      <c r="M173" s="2"/>
      <c r="N173" s="3" t="str">
        <f aca="false">IF(AND(I173="Operational",OR(H173="operational_IT",H173="operational_critical",H173="operational_total",H173="combined")),G173,"")</f>
        <v/>
      </c>
    </row>
    <row r="174" customFormat="false" ht="15" hidden="false" customHeight="false" outlineLevel="0" collapsed="false">
      <c r="A174" s="2" t="s">
        <v>417</v>
      </c>
      <c r="B174" s="3" t="s">
        <v>414</v>
      </c>
      <c r="C174" s="3" t="s">
        <v>415</v>
      </c>
      <c r="D174" s="3" t="s">
        <v>49</v>
      </c>
      <c r="E174" s="3" t="s">
        <v>50</v>
      </c>
      <c r="F174" s="3" t="s">
        <v>40</v>
      </c>
      <c r="G174" s="3"/>
      <c r="H174" s="3" t="s">
        <v>407</v>
      </c>
      <c r="I174" s="4" t="s">
        <v>20</v>
      </c>
      <c r="J174" s="3"/>
      <c r="K174" s="3" t="s">
        <v>27</v>
      </c>
      <c r="L174" s="3" t="s">
        <v>416</v>
      </c>
      <c r="M174" s="2"/>
      <c r="N174" s="3" t="str">
        <f aca="false">IF(AND(I174="Operational",OR(H174="operational_IT",H174="operational_critical",H174="operational_total",H174="combined")),G174,"")</f>
        <v/>
      </c>
    </row>
    <row r="175" customFormat="false" ht="15" hidden="false" customHeight="false" outlineLevel="0" collapsed="false">
      <c r="A175" s="2" t="s">
        <v>418</v>
      </c>
      <c r="B175" s="3" t="s">
        <v>414</v>
      </c>
      <c r="C175" s="3" t="s">
        <v>415</v>
      </c>
      <c r="D175" s="3" t="s">
        <v>16</v>
      </c>
      <c r="E175" s="3" t="s">
        <v>17</v>
      </c>
      <c r="F175" s="3" t="s">
        <v>18</v>
      </c>
      <c r="G175" s="3"/>
      <c r="H175" s="3" t="s">
        <v>407</v>
      </c>
      <c r="I175" s="4" t="s">
        <v>20</v>
      </c>
      <c r="J175" s="3"/>
      <c r="K175" s="3" t="s">
        <v>27</v>
      </c>
      <c r="L175" s="3" t="s">
        <v>416</v>
      </c>
      <c r="M175" s="2"/>
      <c r="N175" s="3" t="str">
        <f aca="false">IF(AND(I175="Operational",OR(H175="operational_IT",H175="operational_critical",H175="operational_total",H175="combined")),G175,"")</f>
        <v/>
      </c>
    </row>
    <row r="176" customFormat="false" ht="15" hidden="false" customHeight="false" outlineLevel="0" collapsed="false">
      <c r="A176" s="2" t="s">
        <v>419</v>
      </c>
      <c r="B176" s="3" t="s">
        <v>414</v>
      </c>
      <c r="C176" s="3" t="s">
        <v>415</v>
      </c>
      <c r="D176" s="3" t="s">
        <v>38</v>
      </c>
      <c r="E176" s="3" t="s">
        <v>39</v>
      </c>
      <c r="F176" s="3" t="s">
        <v>40</v>
      </c>
      <c r="G176" s="3"/>
      <c r="H176" s="3" t="s">
        <v>407</v>
      </c>
      <c r="I176" s="4" t="s">
        <v>20</v>
      </c>
      <c r="J176" s="3"/>
      <c r="K176" s="3" t="s">
        <v>27</v>
      </c>
      <c r="L176" s="3" t="s">
        <v>416</v>
      </c>
      <c r="M176" s="2" t="s">
        <v>420</v>
      </c>
      <c r="N176" s="3" t="str">
        <f aca="false">IF(AND(I176="Operational",OR(H176="operational_IT",H176="operational_critical",H176="operational_total",H176="combined")),G176,"")</f>
        <v/>
      </c>
    </row>
    <row r="177" customFormat="false" ht="15" hidden="false" customHeight="false" outlineLevel="0" collapsed="false">
      <c r="A177" s="2" t="s">
        <v>421</v>
      </c>
      <c r="B177" s="3" t="s">
        <v>422</v>
      </c>
      <c r="C177" s="3" t="s">
        <v>423</v>
      </c>
      <c r="D177" s="3" t="s">
        <v>16</v>
      </c>
      <c r="E177" s="3" t="s">
        <v>17</v>
      </c>
      <c r="F177" s="3" t="s">
        <v>18</v>
      </c>
      <c r="G177" s="3"/>
      <c r="H177" s="3" t="s">
        <v>407</v>
      </c>
      <c r="I177" s="4" t="s">
        <v>20</v>
      </c>
      <c r="J177" s="3"/>
      <c r="K177" s="3" t="s">
        <v>27</v>
      </c>
      <c r="L177" s="3" t="s">
        <v>424</v>
      </c>
      <c r="M177" s="2"/>
      <c r="N177" s="3" t="str">
        <f aca="false">IF(AND(I177="Operational",OR(H177="operational_IT",H177="operational_critical",H177="operational_total",H177="combined")),G177,"")</f>
        <v/>
      </c>
    </row>
    <row r="178" customFormat="false" ht="15" hidden="false" customHeight="false" outlineLevel="0" collapsed="false">
      <c r="A178" s="2" t="s">
        <v>425</v>
      </c>
      <c r="B178" s="3" t="s">
        <v>422</v>
      </c>
      <c r="C178" s="3" t="s">
        <v>423</v>
      </c>
      <c r="D178" s="3" t="s">
        <v>426</v>
      </c>
      <c r="E178" s="3" t="s">
        <v>326</v>
      </c>
      <c r="F178" s="3" t="s">
        <v>60</v>
      </c>
      <c r="G178" s="3"/>
      <c r="H178" s="3" t="s">
        <v>407</v>
      </c>
      <c r="I178" s="4" t="s">
        <v>20</v>
      </c>
      <c r="J178" s="3"/>
      <c r="K178" s="3" t="s">
        <v>27</v>
      </c>
      <c r="L178" s="3" t="s">
        <v>427</v>
      </c>
      <c r="M178" s="2" t="s">
        <v>428</v>
      </c>
      <c r="N178" s="3" t="str">
        <f aca="false">IF(AND(I178="Operational",OR(H178="operational_IT",H178="operational_critical",H178="operational_total",H178="combined")),G178,"")</f>
        <v/>
      </c>
    </row>
    <row r="179" customFormat="false" ht="15" hidden="false" customHeight="false" outlineLevel="0" collapsed="false">
      <c r="A179" s="2" t="s">
        <v>429</v>
      </c>
      <c r="B179" s="3" t="s">
        <v>430</v>
      </c>
      <c r="C179" s="3" t="s">
        <v>431</v>
      </c>
      <c r="D179" s="3" t="s">
        <v>16</v>
      </c>
      <c r="E179" s="3" t="s">
        <v>17</v>
      </c>
      <c r="F179" s="3" t="s">
        <v>18</v>
      </c>
      <c r="G179" s="3"/>
      <c r="H179" s="3" t="s">
        <v>407</v>
      </c>
      <c r="I179" s="4" t="s">
        <v>20</v>
      </c>
      <c r="J179" s="3"/>
      <c r="K179" s="3" t="s">
        <v>21</v>
      </c>
      <c r="L179" s="3" t="s">
        <v>432</v>
      </c>
      <c r="M179" s="2"/>
      <c r="N179" s="3" t="str">
        <f aca="false">IF(AND(I179="Operational",OR(H179="operational_IT",H179="operational_critical",H179="operational_total",H179="combined")),G179,"")</f>
        <v/>
      </c>
    </row>
    <row r="180" customFormat="false" ht="15" hidden="false" customHeight="false" outlineLevel="0" collapsed="false">
      <c r="A180" s="2" t="s">
        <v>433</v>
      </c>
      <c r="B180" s="3" t="s">
        <v>430</v>
      </c>
      <c r="C180" s="3" t="s">
        <v>431</v>
      </c>
      <c r="D180" s="3" t="s">
        <v>38</v>
      </c>
      <c r="E180" s="3" t="s">
        <v>39</v>
      </c>
      <c r="F180" s="3" t="s">
        <v>40</v>
      </c>
      <c r="G180" s="3"/>
      <c r="H180" s="3" t="s">
        <v>407</v>
      </c>
      <c r="I180" s="4" t="s">
        <v>20</v>
      </c>
      <c r="J180" s="3"/>
      <c r="K180" s="3" t="s">
        <v>27</v>
      </c>
      <c r="L180" s="3" t="s">
        <v>434</v>
      </c>
      <c r="M180" s="2"/>
      <c r="N180" s="3" t="str">
        <f aca="false">IF(AND(I180="Operational",OR(H180="operational_IT",H180="operational_critical",H180="operational_total",H180="combined")),G180,"")</f>
        <v/>
      </c>
    </row>
    <row r="181" customFormat="false" ht="15" hidden="false" customHeight="false" outlineLevel="0" collapsed="false">
      <c r="A181" s="2" t="s">
        <v>435</v>
      </c>
      <c r="B181" s="3" t="s">
        <v>436</v>
      </c>
      <c r="C181" s="3" t="s">
        <v>436</v>
      </c>
      <c r="D181" s="3" t="s">
        <v>49</v>
      </c>
      <c r="E181" s="3" t="s">
        <v>50</v>
      </c>
      <c r="F181" s="3" t="s">
        <v>40</v>
      </c>
      <c r="G181" s="3" t="n">
        <v>55</v>
      </c>
      <c r="H181" s="3" t="s">
        <v>34</v>
      </c>
      <c r="I181" s="5" t="s">
        <v>35</v>
      </c>
      <c r="J181" s="3" t="n">
        <v>420000</v>
      </c>
      <c r="K181" s="3" t="s">
        <v>27</v>
      </c>
      <c r="L181" s="3" t="s">
        <v>437</v>
      </c>
      <c r="M181" s="2"/>
      <c r="N181" s="3" t="str">
        <f aca="false">IF(AND(I181="Operational",OR(H181="operational_IT",H181="operational_critical",H181="operational_total",H181="combined")),G181,"")</f>
        <v/>
      </c>
    </row>
    <row r="182" customFormat="false" ht="15" hidden="false" customHeight="false" outlineLevel="0" collapsed="false">
      <c r="A182" s="2" t="s">
        <v>438</v>
      </c>
      <c r="B182" s="3" t="s">
        <v>436</v>
      </c>
      <c r="C182" s="3" t="s">
        <v>436</v>
      </c>
      <c r="D182" s="3" t="s">
        <v>16</v>
      </c>
      <c r="E182" s="3" t="s">
        <v>17</v>
      </c>
      <c r="F182" s="3" t="s">
        <v>18</v>
      </c>
      <c r="G182" s="3"/>
      <c r="H182" s="3" t="s">
        <v>51</v>
      </c>
      <c r="I182" s="4" t="s">
        <v>20</v>
      </c>
      <c r="J182" s="3"/>
      <c r="K182" s="3" t="s">
        <v>21</v>
      </c>
      <c r="L182" s="3" t="s">
        <v>439</v>
      </c>
      <c r="M182" s="2" t="s">
        <v>440</v>
      </c>
      <c r="N182" s="3" t="str">
        <f aca="false">IF(AND(I182="Operational",OR(H182="operational_IT",H182="operational_critical",H182="operational_total",H182="combined")),G182,"")</f>
        <v/>
      </c>
    </row>
    <row r="183" customFormat="false" ht="15" hidden="false" customHeight="false" outlineLevel="0" collapsed="false">
      <c r="A183" s="2" t="s">
        <v>441</v>
      </c>
      <c r="B183" s="3" t="s">
        <v>442</v>
      </c>
      <c r="C183" s="3" t="s">
        <v>442</v>
      </c>
      <c r="D183" s="3" t="s">
        <v>33</v>
      </c>
      <c r="E183" s="3" t="s">
        <v>17</v>
      </c>
      <c r="F183" s="3" t="s">
        <v>18</v>
      </c>
      <c r="G183" s="3" t="n">
        <v>20</v>
      </c>
      <c r="H183" s="3" t="s">
        <v>34</v>
      </c>
      <c r="I183" s="5" t="s">
        <v>35</v>
      </c>
      <c r="J183" s="3"/>
      <c r="K183" s="3" t="s">
        <v>21</v>
      </c>
      <c r="L183" s="3" t="s">
        <v>443</v>
      </c>
      <c r="M183" s="2" t="s">
        <v>444</v>
      </c>
      <c r="N183" s="3" t="str">
        <f aca="false">IF(AND(I183="Operational",OR(H183="operational_IT",H183="operational_critical",H183="operational_total",H183="combined")),G183,"")</f>
        <v/>
      </c>
    </row>
    <row r="184" customFormat="false" ht="15" hidden="false" customHeight="false" outlineLevel="0" collapsed="false">
      <c r="A184" s="2" t="s">
        <v>445</v>
      </c>
      <c r="B184" s="3" t="s">
        <v>446</v>
      </c>
      <c r="C184" s="3" t="s">
        <v>447</v>
      </c>
      <c r="D184" s="3" t="s">
        <v>33</v>
      </c>
      <c r="E184" s="3" t="s">
        <v>17</v>
      </c>
      <c r="F184" s="3" t="s">
        <v>18</v>
      </c>
      <c r="G184" s="3" t="n">
        <v>60</v>
      </c>
      <c r="H184" s="3" t="s">
        <v>34</v>
      </c>
      <c r="I184" s="5" t="s">
        <v>35</v>
      </c>
      <c r="J184" s="3"/>
      <c r="K184" s="3" t="s">
        <v>27</v>
      </c>
      <c r="L184" s="3" t="s">
        <v>448</v>
      </c>
      <c r="M184" s="2"/>
      <c r="N184" s="3" t="str">
        <f aca="false">IF(AND(I184="Operational",OR(H184="operational_IT",H184="operational_critical",H184="operational_total",H184="combined")),G184,"")</f>
        <v/>
      </c>
    </row>
    <row r="185" customFormat="false" ht="15" hidden="false" customHeight="false" outlineLevel="0" collapsed="false">
      <c r="A185" s="2" t="s">
        <v>449</v>
      </c>
      <c r="B185" s="3" t="s">
        <v>450</v>
      </c>
      <c r="C185" s="3" t="s">
        <v>450</v>
      </c>
      <c r="D185" s="3" t="s">
        <v>451</v>
      </c>
      <c r="E185" s="3" t="s">
        <v>89</v>
      </c>
      <c r="F185" s="3" t="s">
        <v>18</v>
      </c>
      <c r="G185" s="3" t="n">
        <v>80</v>
      </c>
      <c r="H185" s="3" t="s">
        <v>34</v>
      </c>
      <c r="I185" s="5" t="s">
        <v>35</v>
      </c>
      <c r="J185" s="3"/>
      <c r="K185" s="3" t="s">
        <v>27</v>
      </c>
      <c r="L185" s="3" t="s">
        <v>452</v>
      </c>
      <c r="M185" s="2" t="s">
        <v>453</v>
      </c>
      <c r="N185" s="3" t="str">
        <f aca="false">IF(AND(I185="Operational",OR(H185="operational_IT",H185="operational_critical",H185="operational_total",H185="combined")),G185,"")</f>
        <v/>
      </c>
    </row>
    <row r="186" customFormat="false" ht="15" hidden="false" customHeight="false" outlineLevel="0" collapsed="false">
      <c r="A186" s="2" t="s">
        <v>454</v>
      </c>
      <c r="B186" s="3" t="s">
        <v>455</v>
      </c>
      <c r="C186" s="3" t="s">
        <v>456</v>
      </c>
      <c r="D186" s="3" t="s">
        <v>16</v>
      </c>
      <c r="E186" s="3" t="s">
        <v>17</v>
      </c>
      <c r="F186" s="3" t="s">
        <v>18</v>
      </c>
      <c r="G186" s="3" t="n">
        <v>30</v>
      </c>
      <c r="H186" s="3" t="s">
        <v>25</v>
      </c>
      <c r="I186" s="4" t="s">
        <v>20</v>
      </c>
      <c r="J186" s="3"/>
      <c r="K186" s="3" t="s">
        <v>27</v>
      </c>
      <c r="L186" s="3" t="s">
        <v>457</v>
      </c>
      <c r="M186" s="2" t="s">
        <v>458</v>
      </c>
      <c r="N186" s="3" t="n">
        <f aca="false">IF(AND(I186="Operational",OR(H186="operational_IT",H186="operational_critical",H186="operational_total",H186="combined")),G186,"")</f>
        <v>30</v>
      </c>
    </row>
    <row r="187" customFormat="false" ht="15" hidden="false" customHeight="false" outlineLevel="0" collapsed="false">
      <c r="A187" s="2" t="s">
        <v>459</v>
      </c>
      <c r="B187" s="3" t="s">
        <v>460</v>
      </c>
      <c r="C187" s="3" t="s">
        <v>460</v>
      </c>
      <c r="D187" s="3" t="s">
        <v>461</v>
      </c>
      <c r="E187" s="3" t="s">
        <v>218</v>
      </c>
      <c r="F187" s="3" t="s">
        <v>60</v>
      </c>
      <c r="G187" s="3" t="n">
        <v>50</v>
      </c>
      <c r="H187" s="3" t="s">
        <v>25</v>
      </c>
      <c r="I187" s="4" t="s">
        <v>20</v>
      </c>
      <c r="J187" s="3"/>
      <c r="K187" s="3" t="s">
        <v>27</v>
      </c>
      <c r="L187" s="3" t="s">
        <v>462</v>
      </c>
      <c r="M187" s="2" t="s">
        <v>463</v>
      </c>
      <c r="N187" s="3" t="n">
        <f aca="false">IF(AND(I187="Operational",OR(H187="operational_IT",H187="operational_critical",H187="operational_total",H187="combined")),G187,"")</f>
        <v>50</v>
      </c>
    </row>
    <row r="188" customFormat="false" ht="15" hidden="false" customHeight="false" outlineLevel="0" collapsed="false">
      <c r="A188" s="2" t="s">
        <v>464</v>
      </c>
      <c r="B188" s="3" t="s">
        <v>465</v>
      </c>
      <c r="C188" s="3" t="s">
        <v>465</v>
      </c>
      <c r="D188" s="3" t="s">
        <v>33</v>
      </c>
      <c r="E188" s="3" t="s">
        <v>17</v>
      </c>
      <c r="F188" s="3" t="s">
        <v>18</v>
      </c>
      <c r="G188" s="3" t="n">
        <v>500</v>
      </c>
      <c r="H188" s="3" t="s">
        <v>34</v>
      </c>
      <c r="I188" s="6" t="s">
        <v>44</v>
      </c>
      <c r="J188" s="3"/>
      <c r="K188" s="3" t="s">
        <v>27</v>
      </c>
      <c r="L188" s="3" t="s">
        <v>466</v>
      </c>
      <c r="M188" s="2"/>
      <c r="N188" s="3" t="str">
        <f aca="false">IF(AND(I188="Operational",OR(H188="operational_IT",H188="operational_critical",H188="operational_total",H188="combined")),G188,"")</f>
        <v/>
      </c>
    </row>
    <row r="189" customFormat="false" ht="15" hidden="false" customHeight="false" outlineLevel="0" collapsed="false">
      <c r="A189" s="2" t="s">
        <v>467</v>
      </c>
      <c r="B189" s="3" t="s">
        <v>468</v>
      </c>
      <c r="C189" s="3" t="s">
        <v>468</v>
      </c>
      <c r="D189" s="3" t="s">
        <v>58</v>
      </c>
      <c r="E189" s="3" t="s">
        <v>59</v>
      </c>
      <c r="F189" s="3" t="s">
        <v>60</v>
      </c>
      <c r="G189" s="3" t="n">
        <v>3</v>
      </c>
      <c r="H189" s="3" t="s">
        <v>25</v>
      </c>
      <c r="I189" s="4" t="s">
        <v>20</v>
      </c>
      <c r="J189" s="3"/>
      <c r="K189" s="3" t="s">
        <v>21</v>
      </c>
      <c r="L189" s="3" t="s">
        <v>469</v>
      </c>
      <c r="M189" s="2" t="s">
        <v>470</v>
      </c>
      <c r="N189" s="3" t="n">
        <f aca="false">IF(AND(I189="Operational",OR(H189="operational_IT",H189="operational_critical",H189="operational_total",H189="combined")),G189,"")</f>
        <v>3</v>
      </c>
    </row>
    <row r="190" customFormat="false" ht="15" hidden="false" customHeight="false" outlineLevel="0" collapsed="false">
      <c r="A190" s="2" t="s">
        <v>471</v>
      </c>
      <c r="B190" s="3" t="s">
        <v>472</v>
      </c>
      <c r="C190" s="3" t="s">
        <v>472</v>
      </c>
      <c r="D190" s="3" t="s">
        <v>16</v>
      </c>
      <c r="E190" s="3" t="s">
        <v>17</v>
      </c>
      <c r="F190" s="3" t="s">
        <v>18</v>
      </c>
      <c r="G190" s="3" t="n">
        <v>400</v>
      </c>
      <c r="H190" s="3" t="s">
        <v>34</v>
      </c>
      <c r="I190" s="6" t="s">
        <v>44</v>
      </c>
      <c r="J190" s="3"/>
      <c r="K190" s="3" t="s">
        <v>45</v>
      </c>
      <c r="L190" s="3" t="s">
        <v>473</v>
      </c>
      <c r="M190" s="2" t="s">
        <v>474</v>
      </c>
      <c r="N190" s="3" t="str">
        <f aca="false">IF(AND(I190="Operational",OR(H190="operational_IT",H190="operational_critical",H190="operational_total",H190="combined")),G190,"")</f>
        <v/>
      </c>
    </row>
    <row r="191" customFormat="false" ht="15" hidden="false" customHeight="false" outlineLevel="0" collapsed="false">
      <c r="A191" s="2" t="s">
        <v>475</v>
      </c>
      <c r="B191" s="3" t="s">
        <v>476</v>
      </c>
      <c r="C191" s="3" t="s">
        <v>477</v>
      </c>
      <c r="D191" s="3" t="s">
        <v>16</v>
      </c>
      <c r="E191" s="3" t="s">
        <v>17</v>
      </c>
      <c r="F191" s="3" t="s">
        <v>18</v>
      </c>
      <c r="G191" s="3" t="n">
        <v>60</v>
      </c>
      <c r="H191" s="3" t="s">
        <v>34</v>
      </c>
      <c r="I191" s="5" t="s">
        <v>35</v>
      </c>
      <c r="J191" s="3"/>
      <c r="K191" s="3" t="s">
        <v>21</v>
      </c>
      <c r="L191" s="3" t="s">
        <v>478</v>
      </c>
      <c r="M191" s="2" t="s">
        <v>479</v>
      </c>
      <c r="N191" s="3" t="str">
        <f aca="false">IF(AND(I191="Operational",OR(H191="operational_IT",H191="operational_critical",H191="operational_total",H191="combined")),G191,"")</f>
        <v/>
      </c>
    </row>
    <row r="192" customFormat="false" ht="23.85" hidden="false" customHeight="false" outlineLevel="0" collapsed="false">
      <c r="A192" s="2" t="s">
        <v>480</v>
      </c>
      <c r="B192" s="3" t="s">
        <v>481</v>
      </c>
      <c r="C192" s="3" t="s">
        <v>482</v>
      </c>
      <c r="D192" s="3" t="s">
        <v>483</v>
      </c>
      <c r="E192" s="3" t="s">
        <v>17</v>
      </c>
      <c r="F192" s="3" t="s">
        <v>18</v>
      </c>
      <c r="G192" s="3" t="n">
        <v>2500</v>
      </c>
      <c r="H192" s="3" t="s">
        <v>53</v>
      </c>
      <c r="I192" s="6" t="s">
        <v>44</v>
      </c>
      <c r="J192" s="3"/>
      <c r="K192" s="3" t="s">
        <v>27</v>
      </c>
      <c r="L192" s="3" t="s">
        <v>484</v>
      </c>
      <c r="M192" s="2" t="s">
        <v>485</v>
      </c>
      <c r="N192" s="3" t="str">
        <f aca="false">IF(AND(I192="Operational",OR(H192="operational_IT",H192="operational_critical",H192="operational_total",H192="combined")),G192,"")</f>
        <v/>
      </c>
    </row>
    <row r="193" customFormat="false" ht="15" hidden="false" customHeight="false" outlineLevel="0" collapsed="false">
      <c r="A193" s="2" t="s">
        <v>486</v>
      </c>
      <c r="B193" s="3" t="s">
        <v>487</v>
      </c>
      <c r="C193" s="3" t="s">
        <v>488</v>
      </c>
      <c r="D193" s="3" t="s">
        <v>33</v>
      </c>
      <c r="E193" s="3" t="s">
        <v>17</v>
      </c>
      <c r="F193" s="3" t="s">
        <v>18</v>
      </c>
      <c r="G193" s="3" t="n">
        <v>300</v>
      </c>
      <c r="H193" s="3" t="s">
        <v>34</v>
      </c>
      <c r="I193" s="5" t="s">
        <v>35</v>
      </c>
      <c r="J193" s="3"/>
      <c r="K193" s="3" t="s">
        <v>27</v>
      </c>
      <c r="L193" s="3" t="s">
        <v>489</v>
      </c>
      <c r="M193" s="2" t="s">
        <v>490</v>
      </c>
      <c r="N193" s="3" t="str">
        <f aca="false">IF(AND(I193="Operational",OR(H193="operational_IT",H193="operational_critical",H193="operational_total",H193="combined")),G193,"")</f>
        <v/>
      </c>
    </row>
    <row r="194" customFormat="false" ht="15" hidden="false" customHeight="false" outlineLevel="0" collapsed="false">
      <c r="A194" s="2" t="s">
        <v>491</v>
      </c>
      <c r="B194" s="3" t="s">
        <v>492</v>
      </c>
      <c r="C194" s="3" t="s">
        <v>492</v>
      </c>
      <c r="D194" s="3" t="s">
        <v>58</v>
      </c>
      <c r="E194" s="3" t="s">
        <v>59</v>
      </c>
      <c r="F194" s="3" t="s">
        <v>60</v>
      </c>
      <c r="G194" s="3"/>
      <c r="H194" s="3" t="s">
        <v>51</v>
      </c>
      <c r="I194" s="6" t="s">
        <v>44</v>
      </c>
      <c r="J194" s="3"/>
      <c r="K194" s="3" t="s">
        <v>21</v>
      </c>
      <c r="L194" s="3" t="s">
        <v>493</v>
      </c>
      <c r="M194" s="2" t="s">
        <v>494</v>
      </c>
      <c r="N194" s="3" t="str">
        <f aca="false">IF(AND(I194="Operational",OR(H194="operational_IT",H194="operational_critical",H194="operational_total",H194="combined")),G194,"")</f>
        <v/>
      </c>
    </row>
    <row r="195" customFormat="false" ht="15" hidden="false" customHeight="false" outlineLevel="0" collapsed="false">
      <c r="A195" s="2" t="s">
        <v>495</v>
      </c>
      <c r="B195" s="3" t="s">
        <v>496</v>
      </c>
      <c r="C195" s="3" t="s">
        <v>497</v>
      </c>
      <c r="D195" s="3" t="s">
        <v>49</v>
      </c>
      <c r="E195" s="3" t="s">
        <v>50</v>
      </c>
      <c r="F195" s="3" t="s">
        <v>40</v>
      </c>
      <c r="G195" s="3" t="n">
        <v>36</v>
      </c>
      <c r="H195" s="3" t="s">
        <v>25</v>
      </c>
      <c r="I195" s="4" t="s">
        <v>20</v>
      </c>
      <c r="J195" s="3"/>
      <c r="K195" s="3" t="s">
        <v>27</v>
      </c>
      <c r="L195" s="3" t="s">
        <v>498</v>
      </c>
      <c r="M195" s="2" t="s">
        <v>499</v>
      </c>
      <c r="N195" s="3" t="n">
        <f aca="false">IF(AND(I195="Operational",OR(H195="operational_IT",H195="operational_critical",H195="operational_total",H195="combined")),G195,"")</f>
        <v>36</v>
      </c>
    </row>
  </sheetData>
  <autoFilter ref="A1:N19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</cols>
  <sheetData>
    <row r="1" customFormat="false" ht="16.15" hidden="false" customHeight="false" outlineLevel="0" collapsed="false">
      <c r="A1" s="8" t="s">
        <v>500</v>
      </c>
    </row>
    <row r="2" customFormat="false" ht="27.75" hidden="false" customHeight="true" outlineLevel="0" collapsed="false">
      <c r="A2" s="9" t="s">
        <v>501</v>
      </c>
    </row>
    <row r="4" customFormat="false" ht="15" hidden="false" customHeight="false" outlineLevel="0" collapsed="false">
      <c r="A4" s="10" t="s">
        <v>502</v>
      </c>
      <c r="B4" s="11"/>
    </row>
    <row r="5" customFormat="false" ht="15" hidden="false" customHeight="false" outlineLevel="0" collapsed="false">
      <c r="A5" s="12" t="s">
        <v>503</v>
      </c>
      <c r="B5" s="13" t="n">
        <f aca="false">COUNTA(Facilities!A2:A500)</f>
        <v>194</v>
      </c>
    </row>
    <row r="6" customFormat="false" ht="15" hidden="false" customHeight="false" outlineLevel="0" collapsed="false">
      <c r="A6" s="12" t="s">
        <v>504</v>
      </c>
      <c r="B6" s="13" t="n">
        <f aca="false">COUNTIF(Facilities!I2:I500,"Operational")</f>
        <v>129</v>
      </c>
    </row>
    <row r="7" customFormat="false" ht="15" hidden="false" customHeight="false" outlineLevel="0" collapsed="false">
      <c r="A7" s="12" t="s">
        <v>505</v>
      </c>
      <c r="B7" s="13" t="n">
        <f aca="false">COUNTIF(Facilities!I2:I500,"Under-construction")</f>
        <v>37</v>
      </c>
    </row>
    <row r="8" customFormat="false" ht="15" hidden="false" customHeight="false" outlineLevel="0" collapsed="false">
      <c r="A8" s="12" t="s">
        <v>506</v>
      </c>
      <c r="B8" s="13" t="n">
        <f aca="false">COUNTIF(Facilities!I2:I500,"Announced")</f>
        <v>24</v>
      </c>
    </row>
    <row r="9" customFormat="false" ht="15" hidden="false" customHeight="false" outlineLevel="0" collapsed="false">
      <c r="A9" s="12" t="s">
        <v>507</v>
      </c>
      <c r="B9" s="13" t="n">
        <f aca="false">COUNTIF(Facilities!I2:I500,"Uncertain")</f>
        <v>4</v>
      </c>
    </row>
    <row r="10" customFormat="false" ht="15" hidden="false" customHeight="false" outlineLevel="0" collapsed="false">
      <c r="A10" s="12" t="s">
        <v>508</v>
      </c>
      <c r="B10" s="13" t="n">
        <f aca="false">COUNT(Facilities!G2:G500)</f>
        <v>134</v>
      </c>
    </row>
    <row r="11" customFormat="false" ht="15" hidden="false" customHeight="false" outlineLevel="0" collapsed="false">
      <c r="A11" s="12"/>
      <c r="B11" s="12"/>
    </row>
    <row r="12" customFormat="false" ht="15" hidden="false" customHeight="false" outlineLevel="0" collapsed="false">
      <c r="A12" s="10" t="s">
        <v>509</v>
      </c>
      <c r="B12" s="11"/>
    </row>
    <row r="13" customFormat="false" ht="15" hidden="false" customHeight="false" outlineLevel="0" collapsed="false">
      <c r="A13" s="12" t="s">
        <v>510</v>
      </c>
      <c r="B13" s="13" t="n">
        <f aca="false">SUM(Facilities!N2:N500)</f>
        <v>1373.42</v>
      </c>
    </row>
    <row r="14" customFormat="false" ht="15" hidden="false" customHeight="false" outlineLevel="0" collapsed="false">
      <c r="A14" s="12" t="s">
        <v>511</v>
      </c>
      <c r="B14" s="13" t="n">
        <f aca="false">SUMIFS(Facilities!G2:G500,Facilities!I2:I500,"Operational",Facilities!H2:H500,"operational_IT")</f>
        <v>812.12</v>
      </c>
    </row>
    <row r="15" customFormat="false" ht="15" hidden="false" customHeight="false" outlineLevel="0" collapsed="false">
      <c r="A15" s="12" t="s">
        <v>512</v>
      </c>
      <c r="B15" s="13" t="n">
        <f aca="false">SUMIFS(Facilities!G2:G500,Facilities!I2:I500,"Operational",Facilities!H2:H500,"operational_critical")</f>
        <v>172.9</v>
      </c>
    </row>
    <row r="16" customFormat="false" ht="15" hidden="false" customHeight="false" outlineLevel="0" collapsed="false">
      <c r="A16" s="12" t="s">
        <v>513</v>
      </c>
      <c r="B16" s="13" t="n">
        <f aca="false">SUMIFS(Facilities!G2:G500,Facilities!H2:H500,"planned")</f>
        <v>8648</v>
      </c>
    </row>
    <row r="17" customFormat="false" ht="15" hidden="false" customHeight="false" outlineLevel="0" collapsed="false">
      <c r="A17" s="12"/>
      <c r="B17" s="12"/>
    </row>
    <row r="18" customFormat="false" ht="15" hidden="false" customHeight="false" outlineLevel="0" collapsed="false">
      <c r="A18" s="10" t="s">
        <v>514</v>
      </c>
      <c r="B18" s="11"/>
    </row>
    <row r="19" customFormat="false" ht="15" hidden="false" customHeight="false" outlineLevel="0" collapsed="false">
      <c r="A19" s="12" t="s">
        <v>515</v>
      </c>
      <c r="B19" s="13" t="n">
        <f aca="false">COUNTIFS(Facilities!F2:F500,"Western",Facilities!H2:H500,"&lt;&gt;region",Facilities!H2:H500,"&lt;&gt;park",Facilities!H2:H500,"&lt;&gt;edge")</f>
        <v>77</v>
      </c>
    </row>
    <row r="20" customFormat="false" ht="15" hidden="false" customHeight="false" outlineLevel="0" collapsed="false">
      <c r="A20" s="12" t="s">
        <v>516</v>
      </c>
      <c r="B20" s="13" t="n">
        <f aca="false">COUNTIFS(Facilities!F2:F500,"Southern",Facilities!H2:H500,"&lt;&gt;region",Facilities!H2:H500,"&lt;&gt;park",Facilities!H2:H500,"&lt;&gt;edge")</f>
        <v>60</v>
      </c>
    </row>
    <row r="21" customFormat="false" ht="15" hidden="false" customHeight="false" outlineLevel="0" collapsed="false">
      <c r="A21" s="12" t="s">
        <v>517</v>
      </c>
      <c r="B21" s="13" t="n">
        <f aca="false">COUNTIFS(Facilities!F2:F500,"Northern",Facilities!H2:H500,"&lt;&gt;region",Facilities!H2:H500,"&lt;&gt;park",Facilities!H2:H500,"&lt;&gt;edge")</f>
        <v>30</v>
      </c>
    </row>
    <row r="22" customFormat="false" ht="15" hidden="false" customHeight="false" outlineLevel="0" collapsed="false">
      <c r="A22" s="12" t="s">
        <v>518</v>
      </c>
      <c r="B22" s="13" t="n">
        <f aca="false">COUNTIFS(Facilities!F2:F500,"Eastern",Facilities!H2:H500,"&lt;&gt;region",Facilities!H2:H500,"&lt;&gt;park",Facilities!H2:H500,"&lt;&gt;edge")</f>
        <v>12</v>
      </c>
    </row>
    <row r="23" customFormat="false" ht="15" hidden="false" customHeight="false" outlineLevel="0" collapsed="false">
      <c r="A23" s="12" t="s">
        <v>519</v>
      </c>
      <c r="B23" s="13" t="n">
        <f aca="false">COUNTIFS(Facilities!F2:F500,"North-Eastern",Facilities!H2:H500,"&lt;&gt;region",Facilities!H2:H500,"&lt;&gt;park",Facilities!H2:H500,"&lt;&gt;edge")</f>
        <v>1</v>
      </c>
    </row>
    <row r="24" customFormat="false" ht="15" hidden="false" customHeight="false" outlineLevel="0" collapsed="false">
      <c r="A24" s="12"/>
      <c r="B24" s="12"/>
    </row>
    <row r="25" customFormat="false" ht="15" hidden="false" customHeight="false" outlineLevel="0" collapsed="false">
      <c r="A25" s="10" t="s">
        <v>520</v>
      </c>
      <c r="B25" s="11"/>
    </row>
    <row r="26" customFormat="false" ht="15" hidden="false" customHeight="false" outlineLevel="0" collapsed="false">
      <c r="A26" s="12" t="s">
        <v>521</v>
      </c>
      <c r="B26" s="13" t="n">
        <f aca="false">COUNTIF(Facilities!C2:C500,"STT GDC India")</f>
        <v>34</v>
      </c>
    </row>
    <row r="27" customFormat="false" ht="15" hidden="false" customHeight="false" outlineLevel="0" collapsed="false">
      <c r="A27" s="12" t="s">
        <v>522</v>
      </c>
      <c r="B27" s="13" t="n">
        <f aca="false">COUNTIF(Facilities!C2:C500,"Nxtra by Airtel")</f>
        <v>25</v>
      </c>
    </row>
    <row r="28" customFormat="false" ht="15" hidden="false" customHeight="false" outlineLevel="0" collapsed="false">
      <c r="A28" s="12" t="s">
        <v>523</v>
      </c>
      <c r="B28" s="13" t="n">
        <f aca="false">COUNTIF(Facilities!C2:C500,"CtrlS")</f>
        <v>25</v>
      </c>
    </row>
    <row r="29" customFormat="false" ht="15" hidden="false" customHeight="false" outlineLevel="0" collapsed="false">
      <c r="A29" s="12" t="s">
        <v>524</v>
      </c>
      <c r="B29" s="13" t="n">
        <f aca="false">COUNTIF(Facilities!C2:C500,"NTT Global Data Centers")</f>
        <v>16</v>
      </c>
    </row>
    <row r="30" customFormat="false" ht="15" hidden="false" customHeight="false" outlineLevel="0" collapsed="false">
      <c r="A30" s="12" t="s">
        <v>525</v>
      </c>
      <c r="B30" s="13" t="n">
        <f aca="false">COUNTIF(Facilities!C2:C500,"Sify")</f>
        <v>16</v>
      </c>
    </row>
    <row r="31" customFormat="false" ht="15" hidden="false" customHeight="false" outlineLevel="0" collapsed="false">
      <c r="A31" s="12" t="s">
        <v>526</v>
      </c>
      <c r="B31" s="13" t="n">
        <f aca="false">COUNTIF(Facilities!C2:C500,"Web Werks / Iron Mountain JV")</f>
        <v>10</v>
      </c>
    </row>
    <row r="32" customFormat="false" ht="15" hidden="false" customHeight="false" outlineLevel="0" collapsed="false">
      <c r="A32" s="12"/>
      <c r="B32" s="12"/>
    </row>
    <row r="33" customFormat="false" ht="15" hidden="false" customHeight="false" outlineLevel="0" collapsed="false">
      <c r="A33" s="12" t="s">
        <v>527</v>
      </c>
      <c r="B33" s="13" t="n">
        <f aca="false">COUNTIF(Facilities!H2:H500,"region")</f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14" t="s">
        <v>528</v>
      </c>
    </row>
    <row r="2" customFormat="false" ht="15" hidden="false" customHeight="false" outlineLevel="0" collapsed="false">
      <c r="A2" s="15"/>
    </row>
    <row r="3" customFormat="false" ht="15" hidden="false" customHeight="false" outlineLevel="0" collapsed="false">
      <c r="A3" s="14" t="s">
        <v>529</v>
      </c>
    </row>
    <row r="4" customFormat="false" ht="69.75" hidden="false" customHeight="true" outlineLevel="0" collapsed="false">
      <c r="A4" s="15" t="s">
        <v>530</v>
      </c>
    </row>
    <row r="5" customFormat="false" ht="15" hidden="false" customHeight="false" outlineLevel="0" collapsed="false">
      <c r="A5" s="15"/>
    </row>
    <row r="6" customFormat="false" ht="15" hidden="false" customHeight="false" outlineLevel="0" collapsed="false">
      <c r="A6" s="14" t="s">
        <v>531</v>
      </c>
    </row>
    <row r="7" customFormat="false" ht="27.75" hidden="false" customHeight="true" outlineLevel="0" collapsed="false">
      <c r="A7" s="15" t="s">
        <v>532</v>
      </c>
    </row>
    <row r="8" customFormat="false" ht="27.75" hidden="false" customHeight="true" outlineLevel="0" collapsed="false">
      <c r="A8" s="15" t="s">
        <v>533</v>
      </c>
    </row>
    <row r="9" customFormat="false" ht="27.75" hidden="false" customHeight="true" outlineLevel="0" collapsed="false">
      <c r="A9" s="15" t="s">
        <v>534</v>
      </c>
    </row>
    <row r="10" customFormat="false" ht="27.75" hidden="false" customHeight="true" outlineLevel="0" collapsed="false">
      <c r="A10" s="15" t="s">
        <v>535</v>
      </c>
    </row>
    <row r="11" customFormat="false" ht="42" hidden="false" customHeight="true" outlineLevel="0" collapsed="false">
      <c r="A11" s="15" t="s">
        <v>536</v>
      </c>
    </row>
    <row r="12" customFormat="false" ht="27.75" hidden="false" customHeight="true" outlineLevel="0" collapsed="false">
      <c r="A12" s="15" t="s">
        <v>537</v>
      </c>
    </row>
    <row r="13" customFormat="false" ht="15" hidden="false" customHeight="false" outlineLevel="0" collapsed="false">
      <c r="A13" s="15"/>
    </row>
    <row r="14" customFormat="false" ht="15" hidden="false" customHeight="false" outlineLevel="0" collapsed="false">
      <c r="A14" s="14" t="s">
        <v>538</v>
      </c>
    </row>
    <row r="15" customFormat="false" ht="27.75" hidden="false" customHeight="true" outlineLevel="0" collapsed="false">
      <c r="A15" s="15" t="s">
        <v>539</v>
      </c>
    </row>
    <row r="16" customFormat="false" ht="42" hidden="false" customHeight="true" outlineLevel="0" collapsed="false">
      <c r="A16" s="15" t="s">
        <v>540</v>
      </c>
    </row>
    <row r="17" customFormat="false" ht="27.75" hidden="false" customHeight="true" outlineLevel="0" collapsed="false">
      <c r="A17" s="15" t="s">
        <v>541</v>
      </c>
    </row>
    <row r="18" customFormat="false" ht="27.75" hidden="false" customHeight="true" outlineLevel="0" collapsed="false">
      <c r="A18" s="15" t="s">
        <v>542</v>
      </c>
    </row>
    <row r="19" customFormat="false" ht="27.75" hidden="false" customHeight="true" outlineLevel="0" collapsed="false">
      <c r="A19" s="15" t="s">
        <v>543</v>
      </c>
    </row>
    <row r="20" customFormat="false" ht="15" hidden="false" customHeight="false" outlineLevel="0" collapsed="false">
      <c r="A20" s="15"/>
    </row>
    <row r="21" customFormat="false" ht="15" hidden="false" customHeight="false" outlineLevel="0" collapsed="false">
      <c r="A21" s="14" t="s">
        <v>544</v>
      </c>
    </row>
    <row r="22" customFormat="false" ht="27.75" hidden="false" customHeight="true" outlineLevel="0" collapsed="false">
      <c r="A22" s="15" t="s">
        <v>545</v>
      </c>
    </row>
    <row r="23" customFormat="false" ht="27.75" hidden="false" customHeight="true" outlineLevel="0" collapsed="false">
      <c r="A23" s="15" t="s">
        <v>546</v>
      </c>
    </row>
    <row r="24" customFormat="false" ht="27.75" hidden="false" customHeight="true" outlineLevel="0" collapsed="false">
      <c r="A24" s="15" t="s">
        <v>547</v>
      </c>
    </row>
    <row r="25" customFormat="false" ht="42" hidden="false" customHeight="true" outlineLevel="0" collapsed="false">
      <c r="A25" s="15" t="s">
        <v>548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2026-09-14T10:45:52Z</dcterms:created>
  <dc:creator>openpyxl</dc:creator>
  <dc:description/>
  <dc:language>en-US</dc:language>
  <cp:lastModifiedBy/>
  <dcterms:modified xsi:type="dcterms:W3CDTF">2026-09-14T10:45:53Z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